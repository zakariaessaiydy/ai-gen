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endar" sheetId="2" state="visible" r:id="rId2"/>
    <sheet name="Niche Progress" sheetId="3" state="visible" r:id="rId3"/>
    <sheet name="Weekly Stats" sheetId="4" state="visible" r:id="rId4"/>
    <sheet name="Posting Guide" sheetId="5" state="visible" r:id="rId5"/>
  </sheets>
  <definedNames>
    <definedName name="_xlnm._FilterDatabase" localSheetId="1" hidden="1">'Calendar'!$A$1:$Y$801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d dd mmm yyyy"/>
    <numFmt numFmtId="165" formatCode="hh:mm"/>
    <numFmt numFmtId="166" formatCode="dd mmm yyyy"/>
    <numFmt numFmtId="167" formatCode="#,##0;-#,##0;-"/>
    <numFmt numFmtId="168" formatCode="0%;-0%;-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17">
    <fill>
      <patternFill/>
    </fill>
    <fill>
      <patternFill patternType="gray125"/>
    </fill>
    <fill>
      <patternFill patternType="solid">
        <fgColor rgb="003B2A4A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F3BF"/>
      </patternFill>
    </fill>
    <fill>
      <patternFill patternType="solid">
        <fgColor rgb="00D0EBFF"/>
      </patternFill>
    </fill>
    <fill>
      <patternFill patternType="solid">
        <fgColor rgb="00E5DBFF"/>
      </patternFill>
    </fill>
    <fill>
      <patternFill patternType="solid">
        <fgColor rgb="00D3F9D8"/>
      </patternFill>
    </fill>
    <fill>
      <patternFill patternType="solid">
        <fgColor rgb="00FFE8CC"/>
      </patternFill>
    </fill>
    <fill>
      <patternFill patternType="solid">
        <fgColor rgb="00FFE3E3"/>
      </patternFill>
    </fill>
    <fill>
      <patternFill patternType="solid">
        <fgColor rgb="00E7F5FF"/>
      </patternFill>
    </fill>
    <fill>
      <patternFill patternType="solid">
        <fgColor rgb="00EBFBEE"/>
      </patternFill>
    </fill>
    <fill>
      <patternFill patternType="solid">
        <fgColor rgb="00EDF2FF"/>
      </patternFill>
    </fill>
    <fill>
      <patternFill patternType="solid">
        <fgColor rgb="00FFF9DB"/>
      </patternFill>
    </fill>
    <fill>
      <patternFill patternType="solid">
        <fgColor rgb="00FFF0F6"/>
      </patternFill>
    </fill>
    <fill>
      <patternFill patternType="solid">
        <fgColor rgb="00F8F0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164" fontId="4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165" fontId="4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9" borderId="1" pivotButton="0" quotePrefix="0" xfId="0"/>
    <xf numFmtId="165" fontId="6" fillId="0" borderId="1" pivotButton="0" quotePrefix="0" xfId="0"/>
    <xf numFmtId="9" fontId="4" fillId="0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6" fillId="9" borderId="1" pivotButton="0" quotePrefix="0" xfId="0"/>
    <xf numFmtId="9" fontId="6" fillId="0" borderId="1" pivotButton="0" quotePrefix="0" xfId="0"/>
    <xf numFmtId="166" fontId="6" fillId="0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12" borderId="1" pivotButton="0" quotePrefix="0" xfId="0"/>
    <xf numFmtId="0" fontId="6" fillId="13" borderId="1" pivotButton="0" quotePrefix="0" xfId="0"/>
    <xf numFmtId="0" fontId="6" fillId="14" borderId="1" pivotButton="0" quotePrefix="0" xfId="0"/>
    <xf numFmtId="0" fontId="6" fillId="16" borderId="1" pivotButton="0" quotePrefix="0" xfId="0"/>
    <xf numFmtId="0" fontId="6" fillId="15" borderId="1" pivotButton="0" quotePrefix="0" xfId="0"/>
    <xf numFmtId="9" fontId="0" fillId="0" borderId="0" pivotButton="0" quotePrefix="0" xfId="0"/>
    <xf numFmtId="167" fontId="6" fillId="0" borderId="1" pivotButton="0" quotePrefix="0" xfId="0"/>
    <xf numFmtId="168" fontId="6" fillId="0" borderId="1" pivotButton="0" quotePrefix="0" xfId="0"/>
    <xf numFmtId="167" fontId="5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4" fillId="3" borderId="0" pivotButton="0" quotePrefix="0" xfId="0"/>
    <xf numFmtId="165" fontId="4" fillId="3" borderId="0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7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F3BF"/>
        </patternFill>
      </fill>
    </dxf>
    <dxf>
      <fill>
        <patternFill patternType="solid">
          <fgColor rgb="00D0EBFF"/>
        </patternFill>
      </fill>
    </dxf>
    <dxf>
      <fill>
        <patternFill patternType="solid">
          <fgColor rgb="00E5DBFF"/>
        </patternFill>
      </fill>
    </dxf>
    <dxf>
      <fill>
        <patternFill patternType="solid">
          <fgColor rgb="00D3F9D8"/>
        </patternFill>
      </fill>
    </dxf>
    <dxf>
      <fill>
        <patternFill patternType="solid">
          <fgColor rgb="00FFE0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Estimated from the topic words; the channel targets 3–7, so 9–12 ideas are candidates to simplify or skip.</t>
      </text>
    </comment>
    <comment ref="O1" authorId="0" shapeId="0">
      <text>
        <t>Species the Critter rig does not have yet. Add them to remotion/src/lib/kids/critter.tsx (and the model sheet) before that video.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00" customWidth="1" min="3" max="3"/>
  </cols>
  <sheetData>
    <row r="1">
      <c r="A1" s="1" t="inlineStr">
        <is>
          <t>Tiny Sparks — 800-video content calendar</t>
        </is>
      </c>
    </row>
    <row r="2">
      <c r="A2" s="2" t="inlineStr">
        <is>
          <t>One video a day for 800 days (~2.2 years). Edit only the YELLOW cells and the blue columns; black cells are calculated.</t>
        </is>
      </c>
    </row>
    <row r="4">
      <c r="A4" s="3" t="inlineStr">
        <is>
          <t>Setting</t>
        </is>
      </c>
      <c r="B4" s="3" t="inlineStr">
        <is>
          <t>Value</t>
        </is>
      </c>
      <c r="C4" s="3" t="inlineStr">
        <is>
          <t>What it does</t>
        </is>
      </c>
    </row>
    <row r="5">
      <c r="A5" s="4" t="inlineStr">
        <is>
          <t>Launch date (Day 1, a Monday)</t>
        </is>
      </c>
      <c r="B5" s="45" t="n">
        <v>46314</v>
      </c>
      <c r="C5" s="4" t="inlineStr">
        <is>
          <t>Every date in the Calendar = launch date + (Day # − 1). Keep it a Monday so the theme days stay on their weekdays.</t>
        </is>
      </c>
    </row>
    <row r="6">
      <c r="A6" s="4" t="inlineStr">
        <is>
          <t>Hours from ET to YOUR time</t>
        </is>
      </c>
      <c r="B6" s="6" t="n">
        <v>5</v>
      </c>
      <c r="C6" s="4" t="inlineStr">
        <is>
          <t>Times are planned in US Eastern (ET), the biggest English kids audience. Morocco/Western Europe ≈ +5 to +6 (US clocks change 1 Nov and in March).</t>
        </is>
      </c>
    </row>
    <row r="8">
      <c r="A8" s="7" t="inlineStr">
        <is>
          <t>Post time by weekday (ET)</t>
        </is>
      </c>
    </row>
    <row r="9">
      <c r="A9" s="3" t="inlineStr">
        <is>
          <t>Weekday</t>
        </is>
      </c>
      <c r="B9" s="3" t="inlineStr">
        <is>
          <t>Time (ET)</t>
        </is>
      </c>
      <c r="C9" s="3" t="inlineStr">
        <is>
          <t>Why</t>
        </is>
      </c>
    </row>
    <row r="10">
      <c r="A10" s="4" t="inlineStr">
        <is>
          <t>Monday</t>
        </is>
      </c>
      <c r="B10" s="46" t="n">
        <v>0.6666666666666666</v>
      </c>
      <c r="C10" s="4" t="inlineStr">
        <is>
          <t>after school / after nap — kids + parent co-viewing</t>
        </is>
      </c>
    </row>
    <row r="11">
      <c r="A11" s="4" t="inlineStr">
        <is>
          <t>Tuesday</t>
        </is>
      </c>
      <c r="B11" s="46" t="n">
        <v>0.6666666666666666</v>
      </c>
      <c r="C11" s="4" t="inlineStr"/>
    </row>
    <row r="12">
      <c r="A12" s="4" t="inlineStr">
        <is>
          <t>Wednesday</t>
        </is>
      </c>
      <c r="B12" s="46" t="n">
        <v>0.6666666666666666</v>
      </c>
      <c r="C12" s="4" t="inlineStr"/>
    </row>
    <row r="13">
      <c r="A13" s="4" t="inlineStr">
        <is>
          <t>Thursday</t>
        </is>
      </c>
      <c r="B13" s="46" t="n">
        <v>0.6666666666666666</v>
      </c>
      <c r="C13" s="4" t="inlineStr"/>
    </row>
    <row r="14">
      <c r="A14" s="4" t="inlineStr">
        <is>
          <t>Friday</t>
        </is>
      </c>
      <c r="B14" s="46" t="n">
        <v>0.6666666666666666</v>
      </c>
      <c r="C14" s="4" t="inlineStr">
        <is>
          <t>start of the weekend binge</t>
        </is>
      </c>
    </row>
    <row r="15">
      <c r="A15" s="4" t="inlineStr">
        <is>
          <t>Saturday</t>
        </is>
      </c>
      <c r="B15" s="46" t="n">
        <v>0.375</v>
      </c>
      <c r="C15" s="4" t="inlineStr">
        <is>
          <t>weekend morning: the biggest kids-viewing window</t>
        </is>
      </c>
    </row>
    <row r="16">
      <c r="A16" s="4" t="inlineStr">
        <is>
          <t>Sunday</t>
        </is>
      </c>
      <c r="B16" s="46" t="n">
        <v>0.375</v>
      </c>
      <c r="C16" s="4" t="inlineStr">
        <is>
          <t>weekend morning (songs)</t>
        </is>
      </c>
    </row>
    <row r="18">
      <c r="A18" s="7" t="inlineStr">
        <is>
          <t>Weekly rotation</t>
        </is>
      </c>
    </row>
    <row r="19">
      <c r="A19" s="4" t="inlineStr">
        <is>
          <t>Monday</t>
        </is>
      </c>
      <c r="B19" s="4" t="inlineStr">
        <is>
          <t>Story Monday: 🧠 Educational Story (odd weeks) / 📚 Moral Story (even weeks)</t>
        </is>
      </c>
    </row>
    <row r="20">
      <c r="A20" s="4" t="inlineStr">
        <is>
          <t>Tuesday</t>
        </is>
      </c>
      <c r="B20" s="4" t="inlineStr">
        <is>
          <t>Math Tuesday: 🔢 Numbers &amp; Math</t>
        </is>
      </c>
    </row>
    <row r="21">
      <c r="A21" s="4" t="inlineStr">
        <is>
          <t>Wednesday</t>
        </is>
      </c>
      <c r="B21" s="4" t="inlineStr">
        <is>
          <t>Word Wednesday: 🔤 English/French</t>
        </is>
      </c>
    </row>
    <row r="22">
      <c r="A22" s="4" t="inlineStr">
        <is>
          <t>Thursday</t>
        </is>
      </c>
      <c r="B22" s="4" t="inlineStr">
        <is>
          <t>Animal Thursday: 🦁 Animal Story</t>
        </is>
      </c>
    </row>
    <row r="23">
      <c r="A23" s="4" t="inlineStr">
        <is>
          <t>Friday</t>
        </is>
      </c>
      <c r="B23" s="4" t="inlineStr">
        <is>
          <t>Science Friday: 🚀 Science</t>
        </is>
      </c>
    </row>
    <row r="24">
      <c r="A24" s="4" t="inlineStr">
        <is>
          <t>Saturday</t>
        </is>
      </c>
      <c r="B24" s="4" t="inlineStr">
        <is>
          <t>Puzzle Saturday: 🧩 Puzzle</t>
        </is>
      </c>
    </row>
    <row r="25">
      <c r="A25" s="4" t="inlineStr">
        <is>
          <t>Sunday</t>
        </is>
      </c>
      <c r="B25" s="4" t="inlineStr">
        <is>
          <t>Song Sunday: 🎵 Song</t>
        </is>
      </c>
    </row>
    <row r="26">
      <c r="A26" s="4" t="inlineStr">
        <is>
          <t>After week 100</t>
        </is>
      </c>
      <c r="B26" s="4" t="inlineStr">
        <is>
          <t>Story Season (days 701–800): the remaining 50 educational + 50 moral stories, alternating daily</t>
        </is>
      </c>
    </row>
    <row r="28">
      <c r="A28" s="7" t="inlineStr">
        <is>
          <t>Status</t>
        </is>
      </c>
    </row>
    <row r="29">
      <c r="A29" s="9" t="inlineStr">
        <is>
          <t>Idea</t>
        </is>
      </c>
      <c r="B29" s="4" t="inlineStr">
        <is>
          <t>not started</t>
        </is>
      </c>
    </row>
    <row r="30">
      <c r="A30" s="10" t="inlineStr">
        <is>
          <t>Scripted</t>
        </is>
      </c>
      <c r="B30" s="4" t="inlineStr">
        <is>
          <t>script.md + beats.json done</t>
        </is>
      </c>
    </row>
    <row r="31">
      <c r="A31" s="11" t="inlineStr">
        <is>
          <t>Rendered</t>
        </is>
      </c>
      <c r="B31" s="4" t="inlineStr">
        <is>
          <t>final MP4 exported</t>
        </is>
      </c>
    </row>
    <row r="32">
      <c r="A32" s="12" t="inlineStr">
        <is>
          <t>Scheduled</t>
        </is>
      </c>
      <c r="B32" s="4" t="inlineStr">
        <is>
          <t>uploaded + scheduled in YouTube Studio</t>
        </is>
      </c>
    </row>
    <row r="33">
      <c r="A33" s="13" t="inlineStr">
        <is>
          <t>Published</t>
        </is>
      </c>
      <c r="B33" s="4" t="inlineStr">
        <is>
          <t>live: paste the link, add views after 48 h and 7 days</t>
        </is>
      </c>
    </row>
    <row r="35">
      <c r="A35" s="7" t="inlineStr">
        <is>
          <t>Columns in the Calendar</t>
        </is>
      </c>
    </row>
    <row r="36">
      <c r="A36" s="4" t="inlineStr">
        <is>
          <t>YouTube title</t>
        </is>
      </c>
      <c r="B36" s="4" t="inlineStr">
        <is>
          <t>the idea adapted to the locked cast (Tommy/Max/Alex → Leo, Mia/Emma/Lily/Sara → Mila, Benny → Bobo) + niche tag + channel</t>
        </is>
      </c>
    </row>
    <row r="37">
      <c r="A37" s="4" t="inlineStr">
        <is>
          <t>Age</t>
        </is>
      </c>
      <c r="B37" s="4" t="inlineStr">
        <is>
          <t>3–5 / 6–8 / 9–12, estimated from the topic; adjust freely</t>
        </is>
      </c>
    </row>
    <row r="38">
      <c r="A38" s="4" t="inlineStr">
        <is>
          <t>Format / Length</t>
        </is>
      </c>
      <c r="B38" s="4" t="inlineStr">
        <is>
          <t>Short 9:16 vs long 16:9 (+ a Short cut), from the niche skill rules</t>
        </is>
      </c>
    </row>
    <row r="39">
      <c r="A39" s="4" t="inlineStr">
        <is>
          <t>Rig ready?</t>
        </is>
      </c>
      <c r="B39" s="4" t="inlineStr">
        <is>
          <t>"Yes" = every animal in it already exists in the Critter rig; otherwise the species to add to critter.tsx first</t>
        </is>
      </c>
    </row>
    <row r="40">
      <c r="A40" s="4" t="inlineStr">
        <is>
          <t>Priority</t>
        </is>
      </c>
      <c r="B40" s="4" t="inlineStr">
        <is>
          <t>P1 = first 13 weeks, P2 = rest of year 1, P3 = later. A "Build first" in the first 13 weeks is the to-do list for the art kit.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01"/>
  <sheetViews>
    <sheetView workbookViewId="0">
      <pane xSplit="8" ySplit="1" topLeftCell="I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6" customWidth="1" min="4" max="4"/>
    <col width="15" customWidth="1" min="5" max="5"/>
    <col width="22" customWidth="1" min="6" max="6"/>
    <col width="7" customWidth="1" min="7" max="7"/>
    <col width="44" customWidth="1" min="8" max="8"/>
    <col width="66" customWidth="1" min="9" max="9"/>
    <col width="7" customWidth="1" min="10" max="10"/>
    <col width="22" customWidth="1" min="11" max="11"/>
    <col width="24" customWidth="1" min="12" max="12"/>
    <col width="34" customWidth="1" min="13" max="13"/>
    <col width="44" customWidth="1" min="14" max="14"/>
    <col width="26" customWidth="1" min="15" max="15"/>
    <col width="8" customWidth="1" min="16" max="16"/>
    <col width="11" customWidth="1" min="17" max="17"/>
    <col width="10" customWidth="1" min="18" max="18"/>
    <col width="9" customWidth="1" min="19" max="19"/>
    <col width="30" customWidth="1" min="20" max="20"/>
    <col width="10" customWidth="1" min="21" max="21"/>
    <col width="11" customWidth="1" min="22" max="22"/>
    <col width="10" customWidth="1" min="23" max="23"/>
    <col width="10" customWidth="1" min="24" max="24"/>
    <col width="36" customWidth="1" min="25" max="25"/>
  </cols>
  <sheetData>
    <row r="1" ht="30" customHeight="1">
      <c r="A1" s="14" t="inlineStr">
        <is>
          <t>Day #</t>
        </is>
      </c>
      <c r="B1" s="14" t="inlineStr">
        <is>
          <t>Week</t>
        </is>
      </c>
      <c r="C1" s="14" t="inlineStr">
        <is>
          <t>Date</t>
        </is>
      </c>
      <c r="D1" s="14" t="inlineStr">
        <is>
          <t>Day</t>
        </is>
      </c>
      <c r="E1" s="14" t="inlineStr">
        <is>
          <t>Theme day</t>
        </is>
      </c>
      <c r="F1" s="14" t="inlineStr">
        <is>
          <t>Niche</t>
        </is>
      </c>
      <c r="G1" s="14" t="inlineStr">
        <is>
          <t>Niche #</t>
        </is>
      </c>
      <c r="H1" s="14" t="inlineStr">
        <is>
          <t>Idea (original)</t>
        </is>
      </c>
      <c r="I1" s="14" t="inlineStr">
        <is>
          <t>YouTube title</t>
        </is>
      </c>
      <c r="J1" s="14" t="inlineStr">
        <is>
          <t>Age</t>
        </is>
      </c>
      <c r="K1" s="14" t="inlineStr">
        <is>
          <t>Format</t>
        </is>
      </c>
      <c r="L1" s="14" t="inlineStr">
        <is>
          <t>Length</t>
        </is>
      </c>
      <c r="M1" s="14" t="inlineStr">
        <is>
          <t>Characters</t>
        </is>
      </c>
      <c r="N1" s="14" t="inlineStr">
        <is>
          <t>Learning objective</t>
        </is>
      </c>
      <c r="O1" s="14" t="inlineStr">
        <is>
          <t>Rig ready?</t>
        </is>
      </c>
      <c r="P1" s="14" t="inlineStr">
        <is>
          <t>Priority</t>
        </is>
      </c>
      <c r="Q1" s="14" t="inlineStr">
        <is>
          <t>Status</t>
        </is>
      </c>
      <c r="R1" s="14" t="inlineStr">
        <is>
          <t>Post time (ET)</t>
        </is>
      </c>
      <c r="S1" s="14" t="inlineStr">
        <is>
          <t>Your time</t>
        </is>
      </c>
      <c r="T1" s="14" t="inlineStr">
        <is>
          <t>YouTube link</t>
        </is>
      </c>
      <c r="U1" s="14" t="inlineStr">
        <is>
          <t>Views 48h</t>
        </is>
      </c>
      <c r="V1" s="14" t="inlineStr">
        <is>
          <t>Views 7 days</t>
        </is>
      </c>
      <c r="W1" s="14" t="inlineStr">
        <is>
          <t>Subs gained</t>
        </is>
      </c>
      <c r="X1" s="14" t="inlineStr">
        <is>
          <t>Avg % viewed</t>
        </is>
      </c>
      <c r="Y1" s="14" t="inlineStr">
        <is>
          <t>Notes</t>
        </is>
      </c>
    </row>
    <row r="2">
      <c r="A2" s="15" t="n">
        <v>1</v>
      </c>
      <c r="B2" s="16">
        <f>INT((A2-1)/7)+1</f>
        <v/>
      </c>
      <c r="C2" s="47">
        <f>'Start Here'!$B$5+A2-1</f>
        <v/>
      </c>
      <c r="D2" s="16">
        <f>TEXT(C2,"ddd")</f>
        <v/>
      </c>
      <c r="E2" s="15" t="inlineStr">
        <is>
          <t>Story Monday</t>
        </is>
      </c>
      <c r="F2" s="18" t="inlineStr">
        <is>
          <t>🧠 Educational Stories</t>
        </is>
      </c>
      <c r="G2" s="15" t="n">
        <v>1</v>
      </c>
      <c r="H2" s="15" t="inlineStr">
        <is>
          <t>Tommy Learns Why We Should Share</t>
        </is>
      </c>
      <c r="I2" s="15" t="inlineStr">
        <is>
          <t>Leo Learns Why We Should Share 🧠 | Kids Stories | Tiny Sparks</t>
        </is>
      </c>
      <c r="J2" s="15" t="inlineStr">
        <is>
          <t>3–5</t>
        </is>
      </c>
      <c r="K2" s="15" t="inlineStr">
        <is>
          <t>Long 16:9 + Short teaser</t>
        </is>
      </c>
      <c r="L2" s="15" t="inlineStr">
        <is>
          <t>3–5 min (Short: 50 s)</t>
        </is>
      </c>
      <c r="M2" s="15" t="inlineStr">
        <is>
          <t>Leo (lead) · Mila, Leo, Bobo + narrator</t>
        </is>
      </c>
      <c r="N2" s="15" t="inlineStr">
        <is>
          <t>Life skill: We Should Share</t>
        </is>
      </c>
      <c r="O2" s="15" t="inlineStr">
        <is>
          <t>Yes</t>
        </is>
      </c>
      <c r="P2" s="15" t="inlineStr">
        <is>
          <t>P1</t>
        </is>
      </c>
      <c r="Q2" s="15" t="inlineStr">
        <is>
          <t>Rendered</t>
        </is>
      </c>
      <c r="R2" s="48">
        <f>INDEX('Start Here'!$B$10:$B$16,WEEKDAY(C2,2))</f>
        <v/>
      </c>
      <c r="S2" s="48">
        <f>MOD(R2+'Start Here'!$B$6/24,1)</f>
        <v/>
      </c>
      <c r="T2" s="15" t="n"/>
      <c r="U2" s="15" t="n"/>
      <c r="V2" s="15" t="n"/>
      <c r="W2" s="15" t="n"/>
      <c r="X2" s="20" t="n"/>
      <c r="Y2" s="15" t="inlineStr">
        <is>
          <t>made 2026-10-07 → kids-shorts/tiny-sparks/stories/day-001-leo-learns-why-we-should-share/output/day-001-sfx-music.mp4</t>
        </is>
      </c>
    </row>
    <row r="3">
      <c r="A3" s="15" t="n">
        <v>2</v>
      </c>
      <c r="B3" s="16">
        <f>INT((A3-1)/7)+1</f>
        <v/>
      </c>
      <c r="C3" s="47">
        <f>'Start Here'!$B$5+A3-1</f>
        <v/>
      </c>
      <c r="D3" s="16">
        <f>TEXT(C3,"ddd")</f>
        <v/>
      </c>
      <c r="E3" s="15" t="inlineStr">
        <is>
          <t>Math Tuesday</t>
        </is>
      </c>
      <c r="F3" s="21" t="inlineStr">
        <is>
          <t>🔢 Numbers &amp; Math</t>
        </is>
      </c>
      <c r="G3" s="15" t="n">
        <v>1</v>
      </c>
      <c r="H3" s="15" t="inlineStr">
        <is>
          <t>Learn Numbers 1–10 with Animals</t>
        </is>
      </c>
      <c r="I3" s="15" t="inlineStr">
        <is>
          <t>Learn Numbers 1–10 with Animals 🔢 | Learn Math for Kids | Tiny Sparks</t>
        </is>
      </c>
      <c r="J3" s="15" t="inlineStr">
        <is>
          <t>3–5</t>
        </is>
      </c>
      <c r="K3" s="15" t="inlineStr">
        <is>
          <t>Short 9:16</t>
        </is>
      </c>
      <c r="L3" s="15" t="inlineStr">
        <is>
          <t>45–60 s</t>
        </is>
      </c>
      <c r="M3" s="15" t="inlineStr">
        <is>
          <t>Bobo + Mila (counting fingers)</t>
        </is>
      </c>
      <c r="N3" s="15" t="inlineStr">
        <is>
          <t>Math: Learn Numbers 1–10 with Animals</t>
        </is>
      </c>
      <c r="O3" s="15" t="inlineStr">
        <is>
          <t>Yes</t>
        </is>
      </c>
      <c r="P3" s="15" t="inlineStr">
        <is>
          <t>P1</t>
        </is>
      </c>
      <c r="Q3" s="15" t="inlineStr">
        <is>
          <t>Rendered</t>
        </is>
      </c>
      <c r="R3" s="48">
        <f>INDEX('Start Here'!$B$10:$B$16,WEEKDAY(C3,2))</f>
        <v/>
      </c>
      <c r="S3" s="48">
        <f>MOD(R3+'Start Here'!$B$6/24,1)</f>
        <v/>
      </c>
      <c r="T3" s="15" t="n"/>
      <c r="U3" s="15" t="n"/>
      <c r="V3" s="15" t="n"/>
      <c r="W3" s="15" t="n"/>
      <c r="X3" s="20" t="n"/>
      <c r="Y3" s="15" t="inlineStr">
        <is>
          <t>made 2026-10-07 → kids-shorts/tiny-sparks/numbers/day-002-learn-numbers-1-10-with-animals/output/day-002-sfx-music.mp4</t>
        </is>
      </c>
    </row>
    <row r="4">
      <c r="A4" s="15" t="n">
        <v>3</v>
      </c>
      <c r="B4" s="16">
        <f>INT((A4-1)/7)+1</f>
        <v/>
      </c>
      <c r="C4" s="47">
        <f>'Start Here'!$B$5+A4-1</f>
        <v/>
      </c>
      <c r="D4" s="16">
        <f>TEXT(C4,"ddd")</f>
        <v/>
      </c>
      <c r="E4" s="15" t="inlineStr">
        <is>
          <t>Word Wednesday</t>
        </is>
      </c>
      <c r="F4" s="22" t="inlineStr">
        <is>
          <t>🔤 English/French Words</t>
        </is>
      </c>
      <c r="G4" s="15" t="n">
        <v>1</v>
      </c>
      <c r="H4" s="15" t="inlineStr">
        <is>
          <t>20 Animals in English and French</t>
        </is>
      </c>
      <c r="I4" s="15" t="inlineStr">
        <is>
          <t>20 Animals in English and French 🔤 | Kids Vocabulary | Tiny Sparks</t>
        </is>
      </c>
      <c r="J4" s="15" t="inlineStr">
        <is>
          <t>3–5</t>
        </is>
      </c>
      <c r="K4" s="15" t="inlineStr">
        <is>
          <t>Long 16:9</t>
        </is>
      </c>
      <c r="L4" s="15" t="inlineStr">
        <is>
          <t>4–8 min</t>
        </is>
      </c>
      <c r="M4" s="15" t="inlineStr">
        <is>
          <t>Mila + French narrator</t>
        </is>
      </c>
      <c r="N4" s="15" t="inlineStr">
        <is>
          <t>Vocabulary EN→FR: 20 Animals</t>
        </is>
      </c>
      <c r="O4" s="15" t="inlineStr">
        <is>
          <t>Yes</t>
        </is>
      </c>
      <c r="P4" s="15" t="inlineStr">
        <is>
          <t>P1</t>
        </is>
      </c>
      <c r="Q4" s="15" t="inlineStr">
        <is>
          <t>Rendered</t>
        </is>
      </c>
      <c r="R4" s="48">
        <f>INDEX('Start Here'!$B$10:$B$16,WEEKDAY(C4,2))</f>
        <v/>
      </c>
      <c r="S4" s="48">
        <f>MOD(R4+'Start Here'!$B$6/24,1)</f>
        <v/>
      </c>
      <c r="T4" s="15" t="n"/>
      <c r="U4" s="15" t="n"/>
      <c r="V4" s="15" t="n"/>
      <c r="W4" s="15" t="n"/>
      <c r="X4" s="20" t="n"/>
      <c r="Y4" s="15" t="inlineStr">
        <is>
          <t>made 2026-10-08 → kids-shorts/tiny-sparks/words/day-003-20-animals-in-english-and-french/output/day-003-sfx-music.mp4</t>
        </is>
      </c>
    </row>
    <row r="5">
      <c r="A5" s="15" t="n">
        <v>4</v>
      </c>
      <c r="B5" s="16">
        <f>INT((A5-1)/7)+1</f>
        <v/>
      </c>
      <c r="C5" s="47">
        <f>'Start Here'!$B$5+A5-1</f>
        <v/>
      </c>
      <c r="D5" s="16">
        <f>TEXT(C5,"ddd")</f>
        <v/>
      </c>
      <c r="E5" s="15" t="inlineStr">
        <is>
          <t>Animal Thursday</t>
        </is>
      </c>
      <c r="F5" s="23" t="inlineStr">
        <is>
          <t>🦁 Animal Stories</t>
        </is>
      </c>
      <c r="G5" s="15" t="n">
        <v>1</v>
      </c>
      <c r="H5" s="15" t="inlineStr">
        <is>
          <t>Leo the Lion Who Was Afraid of the Dark</t>
        </is>
      </c>
      <c r="I5" s="15" t="inlineStr">
        <is>
          <t>Rory the Lion Who Was Afraid of the Dark 🦁 | Animal Stories for Kids | Tiny Sparks</t>
        </is>
      </c>
      <c r="J5" s="15" t="inlineStr">
        <is>
          <t>3–5</t>
        </is>
      </c>
      <c r="K5" s="15" t="inlineStr">
        <is>
          <t>Long 16:9 + Short teaser</t>
        </is>
      </c>
      <c r="L5" s="15" t="inlineStr">
        <is>
          <t>3–5 min (Short: 50 s)</t>
        </is>
      </c>
      <c r="M5" s="15" t="inlineStr">
        <is>
          <t>guest animal(s) + Bobo</t>
        </is>
      </c>
      <c r="N5" s="15" t="inlineStr">
        <is>
          <t>Story + 3 true animal facts; value: courage</t>
        </is>
      </c>
      <c r="O5" s="15" t="inlineStr">
        <is>
          <t>Yes</t>
        </is>
      </c>
      <c r="P5" s="15" t="inlineStr">
        <is>
          <t>P1</t>
        </is>
      </c>
      <c r="Q5" s="15" t="inlineStr">
        <is>
          <t>Rendered</t>
        </is>
      </c>
      <c r="R5" s="48">
        <f>INDEX('Start Here'!$B$10:$B$16,WEEKDAY(C5,2))</f>
        <v/>
      </c>
      <c r="S5" s="48">
        <f>MOD(R5+'Start Here'!$B$6/24,1)</f>
        <v/>
      </c>
      <c r="T5" s="15" t="n"/>
      <c r="U5" s="15" t="n"/>
      <c r="V5" s="15" t="n"/>
      <c r="W5" s="15" t="n"/>
      <c r="X5" s="20" t="n"/>
      <c r="Y5" s="15" t="inlineStr">
        <is>
          <t>made 2026-10-08 → kids-shorts/tiny-sparks/animals/day-004-rory-the-lion-who-was-afraid-of-the-dark/output/day-004-final.mp4</t>
        </is>
      </c>
    </row>
    <row r="6">
      <c r="A6" s="15" t="n">
        <v>5</v>
      </c>
      <c r="B6" s="16">
        <f>INT((A6-1)/7)+1</f>
        <v/>
      </c>
      <c r="C6" s="47">
        <f>'Start Here'!$B$5+A6-1</f>
        <v/>
      </c>
      <c r="D6" s="16">
        <f>TEXT(C6,"ddd")</f>
        <v/>
      </c>
      <c r="E6" s="15" t="inlineStr">
        <is>
          <t>Science Friday</t>
        </is>
      </c>
      <c r="F6" s="24" t="inlineStr">
        <is>
          <t>🚀 Science for Kids</t>
        </is>
      </c>
      <c r="G6" s="15" t="n">
        <v>1</v>
      </c>
      <c r="H6" s="15" t="inlineStr">
        <is>
          <t>Why Is the Sky Blue?</t>
        </is>
      </c>
      <c r="I6" s="15" t="inlineStr">
        <is>
          <t>Why Is the Sky Blue? 🚀 | Science for Kids | Tiny Sparks</t>
        </is>
      </c>
      <c r="J6" s="15" t="inlineStr">
        <is>
          <t>3–5</t>
        </is>
      </c>
      <c r="K6" s="15" t="inlineStr">
        <is>
          <t>Short 9:16</t>
        </is>
      </c>
      <c r="L6" s="15" t="inlineStr">
        <is>
          <t>45–60 s</t>
        </is>
      </c>
      <c r="M6" s="15" t="inlineStr">
        <is>
          <t>Prof. Hoot + Leo (wrong guess) + Mila</t>
        </is>
      </c>
      <c r="N6" s="15" t="inlineStr">
        <is>
          <t>Answer simply: Why Is the Sky Blue?</t>
        </is>
      </c>
      <c r="O6" s="15" t="inlineStr">
        <is>
          <t>Yes</t>
        </is>
      </c>
      <c r="P6" s="15" t="inlineStr">
        <is>
          <t>P1</t>
        </is>
      </c>
      <c r="Q6" s="15" t="inlineStr">
        <is>
          <t>Rendered</t>
        </is>
      </c>
      <c r="R6" s="48">
        <f>INDEX('Start Here'!$B$10:$B$16,WEEKDAY(C6,2))</f>
        <v/>
      </c>
      <c r="S6" s="48">
        <f>MOD(R6+'Start Here'!$B$6/24,1)</f>
        <v/>
      </c>
      <c r="T6" s="15" t="n"/>
      <c r="U6" s="15" t="n"/>
      <c r="V6" s="15" t="n"/>
      <c r="W6" s="15" t="n"/>
      <c r="X6" s="20" t="n"/>
      <c r="Y6" s="15" t="inlineStr">
        <is>
          <t>made 2026-10-09 → kids-shorts/tiny-sparks/science/day-005-why-is-the-sky-blue/output/day-005-final.mp4</t>
        </is>
      </c>
    </row>
    <row r="7">
      <c r="A7" s="15" t="n">
        <v>6</v>
      </c>
      <c r="B7" s="16">
        <f>INT((A7-1)/7)+1</f>
        <v/>
      </c>
      <c r="C7" s="47">
        <f>'Start Here'!$B$5+A7-1</f>
        <v/>
      </c>
      <c r="D7" s="16">
        <f>TEXT(C7,"ddd")</f>
        <v/>
      </c>
      <c r="E7" s="15" t="inlineStr">
        <is>
          <t>Puzzle Saturday</t>
        </is>
      </c>
      <c r="F7" s="25" t="inlineStr">
        <is>
          <t>🧩 Puzzles &amp; Problem-Solving</t>
        </is>
      </c>
      <c r="G7" s="15" t="n">
        <v>1</v>
      </c>
      <c r="H7" s="15" t="inlineStr">
        <is>
          <t>Find the Missing Number</t>
        </is>
      </c>
      <c r="I7" s="15" t="inlineStr">
        <is>
          <t>Find the Missing Number 🧩 | Brain Games for Kids | Tiny Sparks</t>
        </is>
      </c>
      <c r="J7" s="15" t="inlineStr">
        <is>
          <t>3–5</t>
        </is>
      </c>
      <c r="K7" s="15" t="inlineStr">
        <is>
          <t>Short 9:16</t>
        </is>
      </c>
      <c r="L7" s="15" t="inlineStr">
        <is>
          <t>45–60 s</t>
        </is>
      </c>
      <c r="M7" s="15" t="inlineStr">
        <is>
          <t>Prof. Hoot + Leo + score strip</t>
        </is>
      </c>
      <c r="N7" s="15" t="inlineStr">
        <is>
          <t>Thinking skill: observation</t>
        </is>
      </c>
      <c r="O7" s="15" t="inlineStr">
        <is>
          <t>Yes</t>
        </is>
      </c>
      <c r="P7" s="15" t="inlineStr">
        <is>
          <t>P1</t>
        </is>
      </c>
      <c r="Q7" s="15" t="inlineStr">
        <is>
          <t>Rendered</t>
        </is>
      </c>
      <c r="R7" s="48">
        <f>INDEX('Start Here'!$B$10:$B$16,WEEKDAY(C7,2))</f>
        <v/>
      </c>
      <c r="S7" s="48">
        <f>MOD(R7+'Start Here'!$B$6/24,1)</f>
        <v/>
      </c>
      <c r="T7" s="15" t="n"/>
      <c r="U7" s="15" t="n"/>
      <c r="V7" s="15" t="n"/>
      <c r="W7" s="15" t="n"/>
      <c r="X7" s="20" t="n"/>
      <c r="Y7" s="15" t="inlineStr">
        <is>
          <t>made 2026-10-09 → kids-shorts/tiny-sparks/puzzles/day-006-find-the-missing-number/output/day-006-final.mp4</t>
        </is>
      </c>
    </row>
    <row r="8">
      <c r="A8" s="15" t="n">
        <v>7</v>
      </c>
      <c r="B8" s="16">
        <f>INT((A8-1)/7)+1</f>
        <v/>
      </c>
      <c r="C8" s="47">
        <f>'Start Here'!$B$5+A8-1</f>
        <v/>
      </c>
      <c r="D8" s="16">
        <f>TEXT(C8,"ddd")</f>
        <v/>
      </c>
      <c r="E8" s="15" t="inlineStr">
        <is>
          <t>Song Sunday</t>
        </is>
      </c>
      <c r="F8" s="26" t="inlineStr">
        <is>
          <t>🎵 Educational Songs</t>
        </is>
      </c>
      <c r="G8" s="15" t="n">
        <v>1</v>
      </c>
      <c r="H8" s="15" t="inlineStr">
        <is>
          <t>Count from 1 to 10 Song</t>
        </is>
      </c>
      <c r="I8" s="15" t="inlineStr">
        <is>
          <t>Count from 1 to 10 Song 🎵 | Kids Songs | Tiny Sparks</t>
        </is>
      </c>
      <c r="J8" s="15" t="inlineStr">
        <is>
          <t>3–5</t>
        </is>
      </c>
      <c r="K8" s="15" t="inlineStr">
        <is>
          <t>Long 16:9 + Short cut</t>
        </is>
      </c>
      <c r="L8" s="15" t="inlineStr">
        <is>
          <t>2–3 min (Short: 45 s chorus)</t>
        </is>
      </c>
      <c r="M8" s="15" t="inlineStr">
        <is>
          <t>Mila sings, all dance</t>
        </is>
      </c>
      <c r="N8" s="15" t="inlineStr">
        <is>
          <t>Sing &amp; learn: Count from 1 to 10</t>
        </is>
      </c>
      <c r="O8" s="15" t="inlineStr">
        <is>
          <t>Yes</t>
        </is>
      </c>
      <c r="P8" s="15" t="inlineStr">
        <is>
          <t>P1</t>
        </is>
      </c>
      <c r="Q8" s="15" t="inlineStr">
        <is>
          <t>Rendered</t>
        </is>
      </c>
      <c r="R8" s="48">
        <f>INDEX('Start Here'!$B$10:$B$16,WEEKDAY(C8,2))</f>
        <v/>
      </c>
      <c r="S8" s="48">
        <f>MOD(R8+'Start Here'!$B$6/24,1)</f>
        <v/>
      </c>
      <c r="T8" s="15" t="n"/>
      <c r="U8" s="15" t="n"/>
      <c r="V8" s="15" t="n"/>
      <c r="W8" s="15" t="n"/>
      <c r="X8" s="20" t="n"/>
      <c r="Y8" s="15" t="inlineStr">
        <is>
          <t>made 2026-10-09 → kids-shorts/tiny-sparks/songs/day-007-count-from-1-to-10-song/output/day-007-final.mp4</t>
        </is>
      </c>
    </row>
    <row r="9">
      <c r="A9" s="15" t="n">
        <v>8</v>
      </c>
      <c r="B9" s="16">
        <f>INT((A9-1)/7)+1</f>
        <v/>
      </c>
      <c r="C9" s="47">
        <f>'Start Here'!$B$5+A9-1</f>
        <v/>
      </c>
      <c r="D9" s="16">
        <f>TEXT(C9,"ddd")</f>
        <v/>
      </c>
      <c r="E9" s="15" t="inlineStr">
        <is>
          <t>Story Monday</t>
        </is>
      </c>
      <c r="F9" s="27" t="inlineStr">
        <is>
          <t>📚 Moral Stories</t>
        </is>
      </c>
      <c r="G9" s="15" t="n">
        <v>1</v>
      </c>
      <c r="H9" s="15" t="inlineStr">
        <is>
          <t>The Boy Who Always Told the Truth</t>
        </is>
      </c>
      <c r="I9" s="15" t="inlineStr">
        <is>
          <t>The Boy Who Always Told the Truth 📚 | Moral Stories for Kids | Tiny Sparks</t>
        </is>
      </c>
      <c r="J9" s="15" t="inlineStr">
        <is>
          <t>3–5</t>
        </is>
      </c>
      <c r="K9" s="15" t="inlineStr">
        <is>
          <t>Long 16:9 + Short teaser</t>
        </is>
      </c>
      <c r="L9" s="15" t="inlineStr">
        <is>
          <t>3–5 min (Short: 50 s)</t>
        </is>
      </c>
      <c r="M9" s="15" t="inlineStr">
        <is>
          <t>narrator + guest animals / Mila &amp; Leo</t>
        </is>
      </c>
      <c r="N9" s="15" t="inlineStr">
        <is>
          <t>Value: honesty</t>
        </is>
      </c>
      <c r="O9" s="15" t="inlineStr">
        <is>
          <t>Yes</t>
        </is>
      </c>
      <c r="P9" s="15" t="inlineStr">
        <is>
          <t>P1</t>
        </is>
      </c>
      <c r="Q9" s="15" t="inlineStr">
        <is>
          <t>Rendered</t>
        </is>
      </c>
      <c r="R9" s="48">
        <f>INDEX('Start Here'!$B$10:$B$16,WEEKDAY(C9,2))</f>
        <v/>
      </c>
      <c r="S9" s="48">
        <f>MOD(R9+'Start Here'!$B$6/24,1)</f>
        <v/>
      </c>
      <c r="T9" s="15" t="n"/>
      <c r="U9" s="15" t="n"/>
      <c r="V9" s="15" t="n"/>
      <c r="W9" s="15" t="n"/>
      <c r="X9" s="20" t="n"/>
      <c r="Y9" s="15" t="inlineStr">
        <is>
          <t>made 2026-10-09 → kids-shorts/tiny-sparks/morals/day-008-the-boy-who-always-told-the-truth/output/day-008-final.mp4</t>
        </is>
      </c>
    </row>
    <row r="10">
      <c r="A10" s="15" t="n">
        <v>9</v>
      </c>
      <c r="B10" s="16">
        <f>INT((A10-1)/7)+1</f>
        <v/>
      </c>
      <c r="C10" s="47">
        <f>'Start Here'!$B$5+A10-1</f>
        <v/>
      </c>
      <c r="D10" s="16">
        <f>TEXT(C10,"ddd")</f>
        <v/>
      </c>
      <c r="E10" s="15" t="inlineStr">
        <is>
          <t>Math Tuesday</t>
        </is>
      </c>
      <c r="F10" s="21" t="inlineStr">
        <is>
          <t>🔢 Numbers &amp; Math</t>
        </is>
      </c>
      <c r="G10" s="15" t="n">
        <v>2</v>
      </c>
      <c r="H10" s="15" t="inlineStr">
        <is>
          <t>Counting 1–20 with Balloons</t>
        </is>
      </c>
      <c r="I10" s="15" t="inlineStr">
        <is>
          <t>Counting 1–20 with Balloons 🔢 | Learn Math for Kids | Tiny Sparks</t>
        </is>
      </c>
      <c r="J10" s="15" t="inlineStr">
        <is>
          <t>3–5</t>
        </is>
      </c>
      <c r="K10" s="15" t="inlineStr">
        <is>
          <t>Short 9:16</t>
        </is>
      </c>
      <c r="L10" s="15" t="inlineStr">
        <is>
          <t>45–60 s</t>
        </is>
      </c>
      <c r="M10" s="15" t="inlineStr">
        <is>
          <t>Bobo + Mila (counting fingers)</t>
        </is>
      </c>
      <c r="N10" s="15" t="inlineStr">
        <is>
          <t>Math: Counting 1–20 with Balloons</t>
        </is>
      </c>
      <c r="O10" s="15" t="inlineStr">
        <is>
          <t>Yes</t>
        </is>
      </c>
      <c r="P10" s="15" t="inlineStr">
        <is>
          <t>P1</t>
        </is>
      </c>
      <c r="Q10" s="15" t="inlineStr">
        <is>
          <t>Rendered</t>
        </is>
      </c>
      <c r="R10" s="48">
        <f>INDEX('Start Here'!$B$10:$B$16,WEEKDAY(C10,2))</f>
        <v/>
      </c>
      <c r="S10" s="48">
        <f>MOD(R10+'Start Here'!$B$6/24,1)</f>
        <v/>
      </c>
      <c r="T10" s="15" t="n"/>
      <c r="U10" s="15" t="n"/>
      <c r="V10" s="15" t="n"/>
      <c r="W10" s="15" t="n"/>
      <c r="X10" s="20" t="n"/>
      <c r="Y10" s="15" t="inlineStr">
        <is>
          <t>made 2026-10-09 → kids-shorts/tiny-sparks/numbers/day-009-counting-1-20-with-balloons/output/day-009-final.mp4</t>
        </is>
      </c>
    </row>
    <row r="11">
      <c r="A11" s="15" t="n">
        <v>10</v>
      </c>
      <c r="B11" s="16">
        <f>INT((A11-1)/7)+1</f>
        <v/>
      </c>
      <c r="C11" s="47">
        <f>'Start Here'!$B$5+A11-1</f>
        <v/>
      </c>
      <c r="D11" s="16">
        <f>TEXT(C11,"ddd")</f>
        <v/>
      </c>
      <c r="E11" s="15" t="inlineStr">
        <is>
          <t>Word Wednesday</t>
        </is>
      </c>
      <c r="F11" s="22" t="inlineStr">
        <is>
          <t>🔤 English/French Words</t>
        </is>
      </c>
      <c r="G11" s="15" t="n">
        <v>2</v>
      </c>
      <c r="H11" s="15" t="inlineStr">
        <is>
          <t>20 Colors in English and French</t>
        </is>
      </c>
      <c r="I11" s="15" t="inlineStr">
        <is>
          <t>20 Colors in English and French 🔤 | Kids Vocabulary | Tiny Sparks</t>
        </is>
      </c>
      <c r="J11" s="15" t="inlineStr">
        <is>
          <t>3–5</t>
        </is>
      </c>
      <c r="K11" s="15" t="inlineStr">
        <is>
          <t>Long 16:9</t>
        </is>
      </c>
      <c r="L11" s="15" t="inlineStr">
        <is>
          <t>4–8 min</t>
        </is>
      </c>
      <c r="M11" s="15" t="inlineStr">
        <is>
          <t>Mila + French narrator</t>
        </is>
      </c>
      <c r="N11" s="15" t="inlineStr">
        <is>
          <t>Vocabulary EN→FR: 20 Colors</t>
        </is>
      </c>
      <c r="O11" s="15" t="inlineStr">
        <is>
          <t>Yes</t>
        </is>
      </c>
      <c r="P11" s="15" t="inlineStr">
        <is>
          <t>P1</t>
        </is>
      </c>
      <c r="Q11" s="15" t="inlineStr">
        <is>
          <t>Rendered</t>
        </is>
      </c>
      <c r="R11" s="48">
        <f>INDEX('Start Here'!$B$10:$B$16,WEEKDAY(C11,2))</f>
        <v/>
      </c>
      <c r="S11" s="48">
        <f>MOD(R11+'Start Here'!$B$6/24,1)</f>
        <v/>
      </c>
      <c r="T11" s="15" t="n"/>
      <c r="U11" s="15" t="n"/>
      <c r="V11" s="15" t="n"/>
      <c r="W11" s="15" t="n"/>
      <c r="X11" s="20" t="n"/>
      <c r="Y11" s="15" t="inlineStr">
        <is>
          <t>made 2026-10-09 → kids-shorts/tiny-sparks/words/day-010-20-colors-in-english-and-french/output/day-010-final.mp4</t>
        </is>
      </c>
    </row>
    <row r="12">
      <c r="A12" s="15" t="n">
        <v>11</v>
      </c>
      <c r="B12" s="16">
        <f>INT((A12-1)/7)+1</f>
        <v/>
      </c>
      <c r="C12" s="47">
        <f>'Start Here'!$B$5+A12-1</f>
        <v/>
      </c>
      <c r="D12" s="16">
        <f>TEXT(C12,"ddd")</f>
        <v/>
      </c>
      <c r="E12" s="15" t="inlineStr">
        <is>
          <t>Animal Thursday</t>
        </is>
      </c>
      <c r="F12" s="23" t="inlineStr">
        <is>
          <t>🦁 Animal Stories</t>
        </is>
      </c>
      <c r="G12" s="15" t="n">
        <v>2</v>
      </c>
      <c r="H12" s="15" t="inlineStr">
        <is>
          <t>Benny the Rabbit and the Lost Carrot</t>
        </is>
      </c>
      <c r="I12" s="15" t="inlineStr">
        <is>
          <t>Benny the Rabbit and the Lost Carrot 🦁 | Animal Stories for Kids | Tiny Sparks</t>
        </is>
      </c>
      <c r="J12" s="15" t="inlineStr">
        <is>
          <t>3–5</t>
        </is>
      </c>
      <c r="K12" s="15" t="inlineStr">
        <is>
          <t>Long 16:9 + Short teaser</t>
        </is>
      </c>
      <c r="L12" s="15" t="inlineStr">
        <is>
          <t>3–5 min (Short: 50 s)</t>
        </is>
      </c>
      <c r="M12" s="15" t="inlineStr">
        <is>
          <t>guest animal(s) + Bobo</t>
        </is>
      </c>
      <c r="N12" s="15" t="inlineStr">
        <is>
          <t>Story + 3 true animal facts; value: friendship</t>
        </is>
      </c>
      <c r="O12" s="15" t="inlineStr">
        <is>
          <t>Yes</t>
        </is>
      </c>
      <c r="P12" s="15" t="inlineStr">
        <is>
          <t>P1</t>
        </is>
      </c>
      <c r="Q12" s="15" t="inlineStr">
        <is>
          <t>Rendered</t>
        </is>
      </c>
      <c r="R12" s="48">
        <f>INDEX('Start Here'!$B$10:$B$16,WEEKDAY(C12,2))</f>
        <v/>
      </c>
      <c r="S12" s="48">
        <f>MOD(R12+'Start Here'!$B$6/24,1)</f>
        <v/>
      </c>
      <c r="T12" s="15" t="n"/>
      <c r="U12" s="15" t="n"/>
      <c r="V12" s="15" t="n"/>
      <c r="W12" s="15" t="n"/>
      <c r="X12" s="20" t="n"/>
      <c r="Y12" s="15" t="inlineStr">
        <is>
          <t>made 2026-10-09 → kids-shorts/tiny-sparks/animals/day-011-benny-the-rabbit-and-the-lost-carrot/output/day-011-final.mp4</t>
        </is>
      </c>
    </row>
    <row r="13">
      <c r="A13" s="15" t="n">
        <v>12</v>
      </c>
      <c r="B13" s="16">
        <f>INT((A13-1)/7)+1</f>
        <v/>
      </c>
      <c r="C13" s="47">
        <f>'Start Here'!$B$5+A13-1</f>
        <v/>
      </c>
      <c r="D13" s="16">
        <f>TEXT(C13,"ddd")</f>
        <v/>
      </c>
      <c r="E13" s="15" t="inlineStr">
        <is>
          <t>Science Friday</t>
        </is>
      </c>
      <c r="F13" s="24" t="inlineStr">
        <is>
          <t>🚀 Science for Kids</t>
        </is>
      </c>
      <c r="G13" s="15" t="n">
        <v>2</v>
      </c>
      <c r="H13" s="15" t="inlineStr">
        <is>
          <t>Why Does the Sun Shine?</t>
        </is>
      </c>
      <c r="I13" s="15" t="inlineStr">
        <is>
          <t>Why Does the Sun Shine? 🚀 | Science for Kids | Tiny Sparks</t>
        </is>
      </c>
      <c r="J13" s="15" t="inlineStr">
        <is>
          <t>3–5</t>
        </is>
      </c>
      <c r="K13" s="15" t="inlineStr">
        <is>
          <t>Short 9:16</t>
        </is>
      </c>
      <c r="L13" s="15" t="inlineStr">
        <is>
          <t>45–60 s</t>
        </is>
      </c>
      <c r="M13" s="15" t="inlineStr">
        <is>
          <t>Prof. Hoot + Leo (wrong guess) + Mila</t>
        </is>
      </c>
      <c r="N13" s="15" t="inlineStr">
        <is>
          <t>Answer simply: Why Does the Sun Shine?</t>
        </is>
      </c>
      <c r="O13" s="15" t="inlineStr">
        <is>
          <t>Yes</t>
        </is>
      </c>
      <c r="P13" s="15" t="inlineStr">
        <is>
          <t>P1</t>
        </is>
      </c>
      <c r="Q13" s="15" t="inlineStr">
        <is>
          <t>Rendered</t>
        </is>
      </c>
      <c r="R13" s="48">
        <f>INDEX('Start Here'!$B$10:$B$16,WEEKDAY(C13,2))</f>
        <v/>
      </c>
      <c r="S13" s="48">
        <f>MOD(R13+'Start Here'!$B$6/24,1)</f>
        <v/>
      </c>
      <c r="T13" s="15" t="n"/>
      <c r="U13" s="15" t="n"/>
      <c r="V13" s="15" t="n"/>
      <c r="W13" s="15" t="n"/>
      <c r="X13" s="20" t="n"/>
      <c r="Y13" s="15" t="inlineStr">
        <is>
          <t>made 2026-10-09 → kids-shorts/tiny-sparks/science/day-012-why-does-the-sun-shine/output/day-012-final.mp4</t>
        </is>
      </c>
    </row>
    <row r="14">
      <c r="A14" s="15" t="n">
        <v>13</v>
      </c>
      <c r="B14" s="16">
        <f>INT((A14-1)/7)+1</f>
        <v/>
      </c>
      <c r="C14" s="47">
        <f>'Start Here'!$B$5+A14-1</f>
        <v/>
      </c>
      <c r="D14" s="16">
        <f>TEXT(C14,"ddd")</f>
        <v/>
      </c>
      <c r="E14" s="15" t="inlineStr">
        <is>
          <t>Puzzle Saturday</t>
        </is>
      </c>
      <c r="F14" s="25" t="inlineStr">
        <is>
          <t>🧩 Puzzles &amp; Problem-Solving</t>
        </is>
      </c>
      <c r="G14" s="15" t="n">
        <v>2</v>
      </c>
      <c r="H14" s="15" t="inlineStr">
        <is>
          <t>Find the Missing Shape</t>
        </is>
      </c>
      <c r="I14" s="15" t="inlineStr">
        <is>
          <t>Find the Missing Shape 🧩 | Brain Games for Kids | Tiny Sparks</t>
        </is>
      </c>
      <c r="J14" s="15" t="inlineStr">
        <is>
          <t>3–5</t>
        </is>
      </c>
      <c r="K14" s="15" t="inlineStr">
        <is>
          <t>Short 9:16</t>
        </is>
      </c>
      <c r="L14" s="15" t="inlineStr">
        <is>
          <t>45–60 s</t>
        </is>
      </c>
      <c r="M14" s="15" t="inlineStr">
        <is>
          <t>Prof. Hoot + Leo + score strip</t>
        </is>
      </c>
      <c r="N14" s="15" t="inlineStr">
        <is>
          <t>Thinking skill: observation</t>
        </is>
      </c>
      <c r="O14" s="15" t="inlineStr">
        <is>
          <t>Yes</t>
        </is>
      </c>
      <c r="P14" s="15" t="inlineStr">
        <is>
          <t>P1</t>
        </is>
      </c>
      <c r="Q14" s="15" t="inlineStr">
        <is>
          <t>Rendered</t>
        </is>
      </c>
      <c r="R14" s="48">
        <f>INDEX('Start Here'!$B$10:$B$16,WEEKDAY(C14,2))</f>
        <v/>
      </c>
      <c r="S14" s="48">
        <f>MOD(R14+'Start Here'!$B$6/24,1)</f>
        <v/>
      </c>
      <c r="T14" s="15" t="n"/>
      <c r="U14" s="15" t="n"/>
      <c r="V14" s="15" t="n"/>
      <c r="W14" s="15" t="n"/>
      <c r="X14" s="20" t="n"/>
      <c r="Y14" s="15" t="inlineStr">
        <is>
          <t>made 2026-10-09 → kids-shorts/tiny-sparks/puzzles/day-013-find-the-missing-shape/output/day-013-final.mp4</t>
        </is>
      </c>
    </row>
    <row r="15">
      <c r="A15" s="15" t="n">
        <v>14</v>
      </c>
      <c r="B15" s="16">
        <f>INT((A15-1)/7)+1</f>
        <v/>
      </c>
      <c r="C15" s="47">
        <f>'Start Here'!$B$5+A15-1</f>
        <v/>
      </c>
      <c r="D15" s="16">
        <f>TEXT(C15,"ddd")</f>
        <v/>
      </c>
      <c r="E15" s="15" t="inlineStr">
        <is>
          <t>Song Sunday</t>
        </is>
      </c>
      <c r="F15" s="26" t="inlineStr">
        <is>
          <t>🎵 Educational Songs</t>
        </is>
      </c>
      <c r="G15" s="15" t="n">
        <v>2</v>
      </c>
      <c r="H15" s="15" t="inlineStr">
        <is>
          <t>Count from 1 to 20 Song</t>
        </is>
      </c>
      <c r="I15" s="15" t="inlineStr">
        <is>
          <t>Count from 1 to 20 Song 🎵 | Kids Songs | Tiny Sparks</t>
        </is>
      </c>
      <c r="J15" s="15" t="inlineStr">
        <is>
          <t>3–5</t>
        </is>
      </c>
      <c r="K15" s="15" t="inlineStr">
        <is>
          <t>Long 16:9 + Short cut</t>
        </is>
      </c>
      <c r="L15" s="15" t="inlineStr">
        <is>
          <t>2–3 min (Short: 45 s chorus)</t>
        </is>
      </c>
      <c r="M15" s="15" t="inlineStr">
        <is>
          <t>Mila sings, all dance</t>
        </is>
      </c>
      <c r="N15" s="15" t="inlineStr">
        <is>
          <t>Sing &amp; learn: Count from 1 to 20</t>
        </is>
      </c>
      <c r="O15" s="15" t="inlineStr">
        <is>
          <t>Yes</t>
        </is>
      </c>
      <c r="P15" s="15" t="inlineStr">
        <is>
          <t>P1</t>
        </is>
      </c>
      <c r="Q15" s="15" t="inlineStr">
        <is>
          <t>Rendered</t>
        </is>
      </c>
      <c r="R15" s="48">
        <f>INDEX('Start Here'!$B$10:$B$16,WEEKDAY(C15,2))</f>
        <v/>
      </c>
      <c r="S15" s="48">
        <f>MOD(R15+'Start Here'!$B$6/24,1)</f>
        <v/>
      </c>
      <c r="T15" s="15" t="n"/>
      <c r="U15" s="15" t="n"/>
      <c r="V15" s="15" t="n"/>
      <c r="W15" s="15" t="n"/>
      <c r="X15" s="20" t="n"/>
      <c r="Y15" s="15" t="inlineStr">
        <is>
          <t>made 2026-10-09 → kids-shorts/tiny-sparks/songs/day-014-count-from-1-to-20-song/output/day-014-final.mp4</t>
        </is>
      </c>
    </row>
    <row r="16">
      <c r="A16" s="15" t="n">
        <v>15</v>
      </c>
      <c r="B16" s="16">
        <f>INT((A16-1)/7)+1</f>
        <v/>
      </c>
      <c r="C16" s="47">
        <f>'Start Here'!$B$5+A16-1</f>
        <v/>
      </c>
      <c r="D16" s="16">
        <f>TEXT(C16,"ddd")</f>
        <v/>
      </c>
      <c r="E16" s="15" t="inlineStr">
        <is>
          <t>Story Monday</t>
        </is>
      </c>
      <c r="F16" s="18" t="inlineStr">
        <is>
          <t>🧠 Educational Stories</t>
        </is>
      </c>
      <c r="G16" s="15" t="n">
        <v>2</v>
      </c>
      <c r="H16" s="15" t="inlineStr">
        <is>
          <t>Mia Learns to Say Please and Thank You</t>
        </is>
      </c>
      <c r="I16" s="15" t="inlineStr">
        <is>
          <t>Mila Learns to Say Please and Thank You 🧠 | Kids Stories | Tiny Sparks</t>
        </is>
      </c>
      <c r="J16" s="15" t="inlineStr">
        <is>
          <t>3–5</t>
        </is>
      </c>
      <c r="K16" s="15" t="inlineStr">
        <is>
          <t>Long 16:9 + Short teaser</t>
        </is>
      </c>
      <c r="L16" s="15" t="inlineStr">
        <is>
          <t>3–5 min (Short: 50 s)</t>
        </is>
      </c>
      <c r="M16" s="15" t="inlineStr">
        <is>
          <t>Mila (lead) · Mila, Leo, Bobo + narrator</t>
        </is>
      </c>
      <c r="N16" s="15" t="inlineStr">
        <is>
          <t>Life skill: Say Please and Thank You</t>
        </is>
      </c>
      <c r="O16" s="15" t="inlineStr">
        <is>
          <t>Yes</t>
        </is>
      </c>
      <c r="P16" s="15" t="inlineStr">
        <is>
          <t>P1</t>
        </is>
      </c>
      <c r="Q16" s="15" t="inlineStr">
        <is>
          <t>Rendered</t>
        </is>
      </c>
      <c r="R16" s="48">
        <f>INDEX('Start Here'!$B$10:$B$16,WEEKDAY(C16,2))</f>
        <v/>
      </c>
      <c r="S16" s="48">
        <f>MOD(R16+'Start Here'!$B$6/24,1)</f>
        <v/>
      </c>
      <c r="T16" s="15" t="n"/>
      <c r="U16" s="15" t="n"/>
      <c r="V16" s="15" t="n"/>
      <c r="W16" s="15" t="n"/>
      <c r="X16" s="20" t="n"/>
      <c r="Y16" s="15" t="inlineStr">
        <is>
          <t>made 2026-10-09 → kids-shorts/tiny-sparks/stories/day-015-mila-learns-to-say-please-and-thank-you/output/day-015-final.mp4</t>
        </is>
      </c>
    </row>
    <row r="17">
      <c r="A17" s="15" t="n">
        <v>16</v>
      </c>
      <c r="B17" s="16">
        <f>INT((A17-1)/7)+1</f>
        <v/>
      </c>
      <c r="C17" s="47">
        <f>'Start Here'!$B$5+A17-1</f>
        <v/>
      </c>
      <c r="D17" s="16">
        <f>TEXT(C17,"ddd")</f>
        <v/>
      </c>
      <c r="E17" s="15" t="inlineStr">
        <is>
          <t>Math Tuesday</t>
        </is>
      </c>
      <c r="F17" s="21" t="inlineStr">
        <is>
          <t>🔢 Numbers &amp; Math</t>
        </is>
      </c>
      <c r="G17" s="15" t="n">
        <v>3</v>
      </c>
      <c r="H17" s="15" t="inlineStr">
        <is>
          <t>Counting Apples 1–10</t>
        </is>
      </c>
      <c r="I17" s="15" t="inlineStr">
        <is>
          <t>Counting Apples 1–10 🔢 | Learn Math for Kids | Tiny Sparks</t>
        </is>
      </c>
      <c r="J17" s="15" t="inlineStr">
        <is>
          <t>3–5</t>
        </is>
      </c>
      <c r="K17" s="15" t="inlineStr">
        <is>
          <t>Short 9:16</t>
        </is>
      </c>
      <c r="L17" s="15" t="inlineStr">
        <is>
          <t>45–60 s</t>
        </is>
      </c>
      <c r="M17" s="15" t="inlineStr">
        <is>
          <t>Bobo + Mila (counting fingers)</t>
        </is>
      </c>
      <c r="N17" s="15" t="inlineStr">
        <is>
          <t>Math: Counting Apples 1–10</t>
        </is>
      </c>
      <c r="O17" s="15" t="inlineStr">
        <is>
          <t>Yes</t>
        </is>
      </c>
      <c r="P17" s="15" t="inlineStr">
        <is>
          <t>P1</t>
        </is>
      </c>
      <c r="Q17" s="15" t="inlineStr">
        <is>
          <t>Rendered</t>
        </is>
      </c>
      <c r="R17" s="48">
        <f>INDEX('Start Here'!$B$10:$B$16,WEEKDAY(C17,2))</f>
        <v/>
      </c>
      <c r="S17" s="48">
        <f>MOD(R17+'Start Here'!$B$6/24,1)</f>
        <v/>
      </c>
      <c r="T17" s="15" t="n"/>
      <c r="U17" s="15" t="n"/>
      <c r="V17" s="15" t="n"/>
      <c r="W17" s="15" t="n"/>
      <c r="X17" s="20" t="n"/>
      <c r="Y17" s="15" t="inlineStr">
        <is>
          <t>made 2026-10-09 → kids-shorts/tiny-sparks/numbers/day-016-counting-apples-1-10/output/day-016-final.mp4</t>
        </is>
      </c>
    </row>
    <row r="18">
      <c r="A18" s="15" t="n">
        <v>17</v>
      </c>
      <c r="B18" s="16">
        <f>INT((A18-1)/7)+1</f>
        <v/>
      </c>
      <c r="C18" s="47">
        <f>'Start Here'!$B$5+A18-1</f>
        <v/>
      </c>
      <c r="D18" s="16">
        <f>TEXT(C18,"ddd")</f>
        <v/>
      </c>
      <c r="E18" s="15" t="inlineStr">
        <is>
          <t>Word Wednesday</t>
        </is>
      </c>
      <c r="F18" s="22" t="inlineStr">
        <is>
          <t>🔤 English/French Words</t>
        </is>
      </c>
      <c r="G18" s="15" t="n">
        <v>3</v>
      </c>
      <c r="H18" s="15" t="inlineStr">
        <is>
          <t>Numbers 1–20 English/French</t>
        </is>
      </c>
      <c r="I18" s="15" t="inlineStr">
        <is>
          <t>Numbers 1–20 English/French 🔤 | Kids Vocabulary | Tiny Sparks</t>
        </is>
      </c>
      <c r="J18" s="15" t="inlineStr">
        <is>
          <t>3–5</t>
        </is>
      </c>
      <c r="K18" s="15" t="inlineStr">
        <is>
          <t>Long 16:9</t>
        </is>
      </c>
      <c r="L18" s="15" t="inlineStr">
        <is>
          <t>4–8 min</t>
        </is>
      </c>
      <c r="M18" s="15" t="inlineStr">
        <is>
          <t>Mila + French narrator</t>
        </is>
      </c>
      <c r="N18" s="15" t="inlineStr">
        <is>
          <t>Vocabulary EN→FR: Numbers 1–20</t>
        </is>
      </c>
      <c r="O18" s="15" t="inlineStr">
        <is>
          <t>Yes</t>
        </is>
      </c>
      <c r="P18" s="15" t="inlineStr">
        <is>
          <t>P1</t>
        </is>
      </c>
      <c r="Q18" s="15" t="inlineStr">
        <is>
          <t>Rendered</t>
        </is>
      </c>
      <c r="R18" s="48">
        <f>INDEX('Start Here'!$B$10:$B$16,WEEKDAY(C18,2))</f>
        <v/>
      </c>
      <c r="S18" s="48">
        <f>MOD(R18+'Start Here'!$B$6/24,1)</f>
        <v/>
      </c>
      <c r="T18" s="15" t="n"/>
      <c r="U18" s="15" t="n"/>
      <c r="V18" s="15" t="n"/>
      <c r="W18" s="15" t="n"/>
      <c r="X18" s="20" t="n"/>
      <c r="Y18" s="15" t="inlineStr">
        <is>
          <t>made 2026-10-09 → kids-shorts/tiny-sparks/words/day-017-numbers-1-20-english-french/output/day-017-final.mp4</t>
        </is>
      </c>
    </row>
    <row r="19">
      <c r="A19" s="15" t="n">
        <v>18</v>
      </c>
      <c r="B19" s="16">
        <f>INT((A19-1)/7)+1</f>
        <v/>
      </c>
      <c r="C19" s="47">
        <f>'Start Here'!$B$5+A19-1</f>
        <v/>
      </c>
      <c r="D19" s="16">
        <f>TEXT(C19,"ddd")</f>
        <v/>
      </c>
      <c r="E19" s="15" t="inlineStr">
        <is>
          <t>Animal Thursday</t>
        </is>
      </c>
      <c r="F19" s="23" t="inlineStr">
        <is>
          <t>🦁 Animal Stories</t>
        </is>
      </c>
      <c r="G19" s="15" t="n">
        <v>3</v>
      </c>
      <c r="H19" s="15" t="inlineStr">
        <is>
          <t>Charlie the Monkey's Big Adventure</t>
        </is>
      </c>
      <c r="I19" s="15" t="inlineStr">
        <is>
          <t>Charlie the Monkey's Big Adventure 🦁 | Animal Stories for Kids | Tiny Sparks</t>
        </is>
      </c>
      <c r="J19" s="15" t="inlineStr">
        <is>
          <t>3–5</t>
        </is>
      </c>
      <c r="K19" s="15" t="inlineStr">
        <is>
          <t>Long 16:9 + Short teaser</t>
        </is>
      </c>
      <c r="L19" s="15" t="inlineStr">
        <is>
          <t>3–5 min (Short: 50 s)</t>
        </is>
      </c>
      <c r="M19" s="15" t="inlineStr">
        <is>
          <t>guest animal(s) + Bobo</t>
        </is>
      </c>
      <c r="N19" s="15" t="inlineStr">
        <is>
          <t>Story + 3 true animal facts; value: friendship</t>
        </is>
      </c>
      <c r="O19" s="15" t="inlineStr">
        <is>
          <t>Build first: monkey</t>
        </is>
      </c>
      <c r="P19" s="15" t="inlineStr">
        <is>
          <t>P1</t>
        </is>
      </c>
      <c r="Q19" s="15" t="inlineStr">
        <is>
          <t>Rendered</t>
        </is>
      </c>
      <c r="R19" s="48">
        <f>INDEX('Start Here'!$B$10:$B$16,WEEKDAY(C19,2))</f>
        <v/>
      </c>
      <c r="S19" s="48">
        <f>MOD(R19+'Start Here'!$B$6/24,1)</f>
        <v/>
      </c>
      <c r="T19" s="15" t="n"/>
      <c r="U19" s="15" t="n"/>
      <c r="V19" s="15" t="n"/>
      <c r="W19" s="15" t="n"/>
      <c r="X19" s="20" t="n"/>
      <c r="Y19" s="15" t="inlineStr">
        <is>
          <t>made 2026-10-09 → kids-shorts/tiny-sparks/animals/day-018-charlie-the-monkey-s-big-adventure/output/day-018-final.mp4</t>
        </is>
      </c>
    </row>
    <row r="20">
      <c r="A20" s="15" t="n">
        <v>19</v>
      </c>
      <c r="B20" s="16">
        <f>INT((A20-1)/7)+1</f>
        <v/>
      </c>
      <c r="C20" s="47">
        <f>'Start Here'!$B$5+A20-1</f>
        <v/>
      </c>
      <c r="D20" s="16">
        <f>TEXT(C20,"ddd")</f>
        <v/>
      </c>
      <c r="E20" s="15" t="inlineStr">
        <is>
          <t>Science Friday</t>
        </is>
      </c>
      <c r="F20" s="24" t="inlineStr">
        <is>
          <t>🚀 Science for Kids</t>
        </is>
      </c>
      <c r="G20" s="15" t="n">
        <v>3</v>
      </c>
      <c r="H20" s="15" t="inlineStr">
        <is>
          <t>Why Does the Moon Glow?</t>
        </is>
      </c>
      <c r="I20" s="15" t="inlineStr">
        <is>
          <t>Why Does the Moon Glow? 🚀 | Science for Kids | Tiny Sparks</t>
        </is>
      </c>
      <c r="J20" s="15" t="inlineStr">
        <is>
          <t>3–5</t>
        </is>
      </c>
      <c r="K20" s="15" t="inlineStr">
        <is>
          <t>Short 9:16</t>
        </is>
      </c>
      <c r="L20" s="15" t="inlineStr">
        <is>
          <t>45–60 s</t>
        </is>
      </c>
      <c r="M20" s="15" t="inlineStr">
        <is>
          <t>Prof. Hoot + Leo (wrong guess) + Mila</t>
        </is>
      </c>
      <c r="N20" s="15" t="inlineStr">
        <is>
          <t>Answer simply: Why Does the Moon Glow?</t>
        </is>
      </c>
      <c r="O20" s="15" t="inlineStr">
        <is>
          <t>Yes</t>
        </is>
      </c>
      <c r="P20" s="15" t="inlineStr">
        <is>
          <t>P1</t>
        </is>
      </c>
      <c r="Q20" s="15" t="inlineStr">
        <is>
          <t>Rendered</t>
        </is>
      </c>
      <c r="R20" s="48">
        <f>INDEX('Start Here'!$B$10:$B$16,WEEKDAY(C20,2))</f>
        <v/>
      </c>
      <c r="S20" s="48">
        <f>MOD(R20+'Start Here'!$B$6/24,1)</f>
        <v/>
      </c>
      <c r="T20" s="15" t="n"/>
      <c r="U20" s="15" t="n"/>
      <c r="V20" s="15" t="n"/>
      <c r="W20" s="15" t="n"/>
      <c r="X20" s="20" t="n"/>
      <c r="Y20" s="15" t="inlineStr">
        <is>
          <t>made 2026-10-09 → kids-shorts/tiny-sparks/science/day-019-why-does-the-moon-glow/output/day-019-final.mp4</t>
        </is>
      </c>
    </row>
    <row r="21">
      <c r="A21" s="15" t="n">
        <v>20</v>
      </c>
      <c r="B21" s="16">
        <f>INT((A21-1)/7)+1</f>
        <v/>
      </c>
      <c r="C21" s="47">
        <f>'Start Here'!$B$5+A21-1</f>
        <v/>
      </c>
      <c r="D21" s="16">
        <f>TEXT(C21,"ddd")</f>
        <v/>
      </c>
      <c r="E21" s="15" t="inlineStr">
        <is>
          <t>Puzzle Saturday</t>
        </is>
      </c>
      <c r="F21" s="25" t="inlineStr">
        <is>
          <t>🧩 Puzzles &amp; Problem-Solving</t>
        </is>
      </c>
      <c r="G21" s="15" t="n">
        <v>3</v>
      </c>
      <c r="H21" s="15" t="inlineStr">
        <is>
          <t>Find the Missing Color</t>
        </is>
      </c>
      <c r="I21" s="15" t="inlineStr">
        <is>
          <t>Find the Missing Color 🧩 | Brain Games for Kids | Tiny Sparks</t>
        </is>
      </c>
      <c r="J21" s="15" t="inlineStr">
        <is>
          <t>3–5</t>
        </is>
      </c>
      <c r="K21" s="15" t="inlineStr">
        <is>
          <t>Short 9:16</t>
        </is>
      </c>
      <c r="L21" s="15" t="inlineStr">
        <is>
          <t>45–60 s</t>
        </is>
      </c>
      <c r="M21" s="15" t="inlineStr">
        <is>
          <t>Prof. Hoot + Leo + score strip</t>
        </is>
      </c>
      <c r="N21" s="15" t="inlineStr">
        <is>
          <t>Thinking skill: observation</t>
        </is>
      </c>
      <c r="O21" s="15" t="inlineStr">
        <is>
          <t>Yes</t>
        </is>
      </c>
      <c r="P21" s="15" t="inlineStr">
        <is>
          <t>P1</t>
        </is>
      </c>
      <c r="Q21" s="15" t="inlineStr">
        <is>
          <t>Rendered</t>
        </is>
      </c>
      <c r="R21" s="48">
        <f>INDEX('Start Here'!$B$10:$B$16,WEEKDAY(C21,2))</f>
        <v/>
      </c>
      <c r="S21" s="48">
        <f>MOD(R21+'Start Here'!$B$6/24,1)</f>
        <v/>
      </c>
      <c r="T21" s="15" t="n"/>
      <c r="U21" s="15" t="n"/>
      <c r="V21" s="15" t="n"/>
      <c r="W21" s="15" t="n"/>
      <c r="X21" s="20" t="n"/>
      <c r="Y21" s="15" t="inlineStr">
        <is>
          <t>made 2026-10-09 → kids-shorts/tiny-sparks/puzzles/day-020-find-the-missing-color/output/day-020-final.mp4</t>
        </is>
      </c>
    </row>
    <row r="22">
      <c r="A22" s="15" t="n">
        <v>21</v>
      </c>
      <c r="B22" s="16">
        <f>INT((A22-1)/7)+1</f>
        <v/>
      </c>
      <c r="C22" s="47">
        <f>'Start Here'!$B$5+A22-1</f>
        <v/>
      </c>
      <c r="D22" s="16">
        <f>TEXT(C22,"ddd")</f>
        <v/>
      </c>
      <c r="E22" s="15" t="inlineStr">
        <is>
          <t>Song Sunday</t>
        </is>
      </c>
      <c r="F22" s="26" t="inlineStr">
        <is>
          <t>🎵 Educational Songs</t>
        </is>
      </c>
      <c r="G22" s="15" t="n">
        <v>3</v>
      </c>
      <c r="H22" s="15" t="inlineStr">
        <is>
          <t>Alphabet A–Z Song</t>
        </is>
      </c>
      <c r="I22" s="15" t="inlineStr">
        <is>
          <t>Alphabet A–Z Song 🎵 | Kids Songs | Tiny Sparks</t>
        </is>
      </c>
      <c r="J22" s="15" t="inlineStr">
        <is>
          <t>3–5</t>
        </is>
      </c>
      <c r="K22" s="15" t="inlineStr">
        <is>
          <t>Long 16:9 + Short cut</t>
        </is>
      </c>
      <c r="L22" s="15" t="inlineStr">
        <is>
          <t>2–3 min (Short: 45 s chorus)</t>
        </is>
      </c>
      <c r="M22" s="15" t="inlineStr">
        <is>
          <t>Mila sings, all dance</t>
        </is>
      </c>
      <c r="N22" s="15" t="inlineStr">
        <is>
          <t>Sing &amp; learn: Alphabet A–Z</t>
        </is>
      </c>
      <c r="O22" s="15" t="inlineStr">
        <is>
          <t>Yes</t>
        </is>
      </c>
      <c r="P22" s="15" t="inlineStr">
        <is>
          <t>P1</t>
        </is>
      </c>
      <c r="Q22" s="15" t="inlineStr">
        <is>
          <t>Rendered</t>
        </is>
      </c>
      <c r="R22" s="48">
        <f>INDEX('Start Here'!$B$10:$B$16,WEEKDAY(C22,2))</f>
        <v/>
      </c>
      <c r="S22" s="48">
        <f>MOD(R22+'Start Here'!$B$6/24,1)</f>
        <v/>
      </c>
      <c r="T22" s="15" t="n"/>
      <c r="U22" s="15" t="n"/>
      <c r="V22" s="15" t="n"/>
      <c r="W22" s="15" t="n"/>
      <c r="X22" s="20" t="n"/>
      <c r="Y22" s="15" t="inlineStr">
        <is>
          <t>made 2026-10-09 → kids-shorts/tiny-sparks/songs/day-021-alphabet-a-z-song/output/day-021-final.mp4</t>
        </is>
      </c>
    </row>
    <row r="23">
      <c r="A23" s="15" t="n">
        <v>22</v>
      </c>
      <c r="B23" s="16">
        <f>INT((A23-1)/7)+1</f>
        <v/>
      </c>
      <c r="C23" s="47">
        <f>'Start Here'!$B$5+A23-1</f>
        <v/>
      </c>
      <c r="D23" s="16">
        <f>TEXT(C23,"ddd")</f>
        <v/>
      </c>
      <c r="E23" s="15" t="inlineStr">
        <is>
          <t>Story Monday</t>
        </is>
      </c>
      <c r="F23" s="27" t="inlineStr">
        <is>
          <t>📚 Moral Stories</t>
        </is>
      </c>
      <c r="G23" s="15" t="n">
        <v>2</v>
      </c>
      <c r="H23" s="15" t="inlineStr">
        <is>
          <t>The Girl Who Learned to Share</t>
        </is>
      </c>
      <c r="I23" s="15" t="inlineStr">
        <is>
          <t>The Girl Who Learned to Share 📚 | Moral Stories for Kids | Tiny Sparks</t>
        </is>
      </c>
      <c r="J23" s="15" t="inlineStr">
        <is>
          <t>3–5</t>
        </is>
      </c>
      <c r="K23" s="15" t="inlineStr">
        <is>
          <t>Long 16:9 + Short teaser</t>
        </is>
      </c>
      <c r="L23" s="15" t="inlineStr">
        <is>
          <t>3–5 min (Short: 50 s)</t>
        </is>
      </c>
      <c r="M23" s="15" t="inlineStr">
        <is>
          <t>narrator + guest animals / Mila &amp; Leo</t>
        </is>
      </c>
      <c r="N23" s="15" t="inlineStr">
        <is>
          <t>Value: sharing</t>
        </is>
      </c>
      <c r="O23" s="15" t="inlineStr">
        <is>
          <t>Yes</t>
        </is>
      </c>
      <c r="P23" s="15" t="inlineStr">
        <is>
          <t>P1</t>
        </is>
      </c>
      <c r="Q23" s="15" t="inlineStr">
        <is>
          <t>Rendered</t>
        </is>
      </c>
      <c r="R23" s="48">
        <f>INDEX('Start Here'!$B$10:$B$16,WEEKDAY(C23,2))</f>
        <v/>
      </c>
      <c r="S23" s="48">
        <f>MOD(R23+'Start Here'!$B$6/24,1)</f>
        <v/>
      </c>
      <c r="T23" s="15" t="n"/>
      <c r="U23" s="15" t="n"/>
      <c r="V23" s="15" t="n"/>
      <c r="W23" s="15" t="n"/>
      <c r="X23" s="20" t="n"/>
      <c r="Y23" s="15" t="inlineStr">
        <is>
          <t>made 2026-10-09 → kids-shorts/tiny-sparks/morals/day-022-the-girl-who-learned-to-share/output/day-022-final.mp4</t>
        </is>
      </c>
    </row>
    <row r="24">
      <c r="A24" s="15" t="n">
        <v>23</v>
      </c>
      <c r="B24" s="16">
        <f>INT((A24-1)/7)+1</f>
        <v/>
      </c>
      <c r="C24" s="47">
        <f>'Start Here'!$B$5+A24-1</f>
        <v/>
      </c>
      <c r="D24" s="16">
        <f>TEXT(C24,"ddd")</f>
        <v/>
      </c>
      <c r="E24" s="15" t="inlineStr">
        <is>
          <t>Math Tuesday</t>
        </is>
      </c>
      <c r="F24" s="21" t="inlineStr">
        <is>
          <t>🔢 Numbers &amp; Math</t>
        </is>
      </c>
      <c r="G24" s="15" t="n">
        <v>4</v>
      </c>
      <c r="H24" s="15" t="inlineStr">
        <is>
          <t>Count the Cute Puppies</t>
        </is>
      </c>
      <c r="I24" s="15" t="inlineStr">
        <is>
          <t>Count the Cute Puppies 🔢 | Learn Math for Kids | Tiny Sparks</t>
        </is>
      </c>
      <c r="J24" s="15" t="inlineStr">
        <is>
          <t>3–5</t>
        </is>
      </c>
      <c r="K24" s="15" t="inlineStr">
        <is>
          <t>Short 9:16</t>
        </is>
      </c>
      <c r="L24" s="15" t="inlineStr">
        <is>
          <t>45–60 s</t>
        </is>
      </c>
      <c r="M24" s="15" t="inlineStr">
        <is>
          <t>Bobo + Mila (counting fingers)</t>
        </is>
      </c>
      <c r="N24" s="15" t="inlineStr">
        <is>
          <t>Math: Count the Cute Puppies</t>
        </is>
      </c>
      <c r="O24" s="15" t="inlineStr">
        <is>
          <t>Build first: puppies</t>
        </is>
      </c>
      <c r="P24" s="15" t="inlineStr">
        <is>
          <t>P1</t>
        </is>
      </c>
      <c r="Q24" s="15" t="inlineStr">
        <is>
          <t>Rendered</t>
        </is>
      </c>
      <c r="R24" s="48">
        <f>INDEX('Start Here'!$B$10:$B$16,WEEKDAY(C24,2))</f>
        <v/>
      </c>
      <c r="S24" s="48">
        <f>MOD(R24+'Start Here'!$B$6/24,1)</f>
        <v/>
      </c>
      <c r="T24" s="15" t="n"/>
      <c r="U24" s="15" t="n"/>
      <c r="V24" s="15" t="n"/>
      <c r="W24" s="15" t="n"/>
      <c r="X24" s="20" t="n"/>
      <c r="Y24" s="15" t="inlineStr">
        <is>
          <t>made 2026-10-09 → kids-shorts/tiny-sparks/numbers/day-023-count-the-cute-puppies/output/day-023-final.mp4</t>
        </is>
      </c>
    </row>
    <row r="25">
      <c r="A25" s="15" t="n">
        <v>24</v>
      </c>
      <c r="B25" s="16">
        <f>INT((A25-1)/7)+1</f>
        <v/>
      </c>
      <c r="C25" s="47">
        <f>'Start Here'!$B$5+A25-1</f>
        <v/>
      </c>
      <c r="D25" s="16">
        <f>TEXT(C25,"ddd")</f>
        <v/>
      </c>
      <c r="E25" s="15" t="inlineStr">
        <is>
          <t>Word Wednesday</t>
        </is>
      </c>
      <c r="F25" s="22" t="inlineStr">
        <is>
          <t>🔤 English/French Words</t>
        </is>
      </c>
      <c r="G25" s="15" t="n">
        <v>4</v>
      </c>
      <c r="H25" s="15" t="inlineStr">
        <is>
          <t>Family Members English/French</t>
        </is>
      </c>
      <c r="I25" s="15" t="inlineStr">
        <is>
          <t>Family Members English/French 🔤 | Kids Vocabulary | Tiny Sparks</t>
        </is>
      </c>
      <c r="J25" s="15" t="inlineStr">
        <is>
          <t>3–5</t>
        </is>
      </c>
      <c r="K25" s="15" t="inlineStr">
        <is>
          <t>Short 9:16</t>
        </is>
      </c>
      <c r="L25" s="15" t="inlineStr">
        <is>
          <t>45–60 s</t>
        </is>
      </c>
      <c r="M25" s="15" t="inlineStr">
        <is>
          <t>Mila + French narrator</t>
        </is>
      </c>
      <c r="N25" s="15" t="inlineStr">
        <is>
          <t>Vocabulary EN→FR: Family Members</t>
        </is>
      </c>
      <c r="O25" s="15" t="inlineStr">
        <is>
          <t>Yes</t>
        </is>
      </c>
      <c r="P25" s="15" t="inlineStr">
        <is>
          <t>P1</t>
        </is>
      </c>
      <c r="Q25" s="15" t="inlineStr">
        <is>
          <t>Rendered</t>
        </is>
      </c>
      <c r="R25" s="48">
        <f>INDEX('Start Here'!$B$10:$B$16,WEEKDAY(C25,2))</f>
        <v/>
      </c>
      <c r="S25" s="48">
        <f>MOD(R25+'Start Here'!$B$6/24,1)</f>
        <v/>
      </c>
      <c r="T25" s="15" t="n"/>
      <c r="U25" s="15" t="n"/>
      <c r="V25" s="15" t="n"/>
      <c r="W25" s="15" t="n"/>
      <c r="X25" s="20" t="n"/>
      <c r="Y25" s="15" t="inlineStr">
        <is>
          <t>made 2026-10-09 → kids-shorts/tiny-sparks/words/day-024-family-members-english-french/output/day-024-final.mp4</t>
        </is>
      </c>
    </row>
    <row r="26">
      <c r="A26" s="15" t="n">
        <v>25</v>
      </c>
      <c r="B26" s="16">
        <f>INT((A26-1)/7)+1</f>
        <v/>
      </c>
      <c r="C26" s="47">
        <f>'Start Here'!$B$5+A26-1</f>
        <v/>
      </c>
      <c r="D26" s="16">
        <f>TEXT(C26,"ddd")</f>
        <v/>
      </c>
      <c r="E26" s="15" t="inlineStr">
        <is>
          <t>Animal Thursday</t>
        </is>
      </c>
      <c r="F26" s="23" t="inlineStr">
        <is>
          <t>🦁 Animal Stories</t>
        </is>
      </c>
      <c r="G26" s="15" t="n">
        <v>4</v>
      </c>
      <c r="H26" s="15" t="inlineStr">
        <is>
          <t>Emma the Elephant Helps Her Friend</t>
        </is>
      </c>
      <c r="I26" s="15" t="inlineStr">
        <is>
          <t>Emma the Elephant Helps Her Friend 🦁 | Animal Stories for Kids | Tiny Sparks</t>
        </is>
      </c>
      <c r="J26" s="15" t="inlineStr">
        <is>
          <t>3–5</t>
        </is>
      </c>
      <c r="K26" s="15" t="inlineStr">
        <is>
          <t>Long 16:9 + Short teaser</t>
        </is>
      </c>
      <c r="L26" s="15" t="inlineStr">
        <is>
          <t>3–5 min (Short: 50 s)</t>
        </is>
      </c>
      <c r="M26" s="15" t="inlineStr">
        <is>
          <t>guest animal(s) + Bobo</t>
        </is>
      </c>
      <c r="N26" s="15" t="inlineStr">
        <is>
          <t>Story + 3 true animal facts; value: helping others</t>
        </is>
      </c>
      <c r="O26" s="15" t="inlineStr">
        <is>
          <t>Build first: elephant</t>
        </is>
      </c>
      <c r="P26" s="15" t="inlineStr">
        <is>
          <t>P1</t>
        </is>
      </c>
      <c r="Q26" s="15" t="inlineStr">
        <is>
          <t>Rendered</t>
        </is>
      </c>
      <c r="R26" s="48">
        <f>INDEX('Start Here'!$B$10:$B$16,WEEKDAY(C26,2))</f>
        <v/>
      </c>
      <c r="S26" s="48">
        <f>MOD(R26+'Start Here'!$B$6/24,1)</f>
        <v/>
      </c>
      <c r="T26" s="15" t="n"/>
      <c r="U26" s="15" t="n"/>
      <c r="V26" s="15" t="n"/>
      <c r="W26" s="15" t="n"/>
      <c r="X26" s="20" t="n"/>
      <c r="Y26" s="15" t="inlineStr">
        <is>
          <t>made 2026-10-09 → kids-shorts/tiny-sparks/animals/day-025-emma-the-elephant-helps-her-friend/output/day-025-final.mp4</t>
        </is>
      </c>
    </row>
    <row r="27">
      <c r="A27" s="15" t="n">
        <v>26</v>
      </c>
      <c r="B27" s="16">
        <f>INT((A27-1)/7)+1</f>
        <v/>
      </c>
      <c r="C27" s="47">
        <f>'Start Here'!$B$5+A27-1</f>
        <v/>
      </c>
      <c r="D27" s="16">
        <f>TEXT(C27,"ddd")</f>
        <v/>
      </c>
      <c r="E27" s="15" t="inlineStr">
        <is>
          <t>Science Friday</t>
        </is>
      </c>
      <c r="F27" s="24" t="inlineStr">
        <is>
          <t>🚀 Science for Kids</t>
        </is>
      </c>
      <c r="G27" s="15" t="n">
        <v>4</v>
      </c>
      <c r="H27" s="15" t="inlineStr">
        <is>
          <t>Why Do We Have Day and Night?</t>
        </is>
      </c>
      <c r="I27" s="15" t="inlineStr">
        <is>
          <t>Why Do We Have Day and Night? 🚀 | Science for Kids | Tiny Sparks</t>
        </is>
      </c>
      <c r="J27" s="15" t="inlineStr">
        <is>
          <t>3–5</t>
        </is>
      </c>
      <c r="K27" s="15" t="inlineStr">
        <is>
          <t>Short 9:16</t>
        </is>
      </c>
      <c r="L27" s="15" t="inlineStr">
        <is>
          <t>45–60 s</t>
        </is>
      </c>
      <c r="M27" s="15" t="inlineStr">
        <is>
          <t>Prof. Hoot + Leo (wrong guess) + Mila</t>
        </is>
      </c>
      <c r="N27" s="15" t="inlineStr">
        <is>
          <t>Answer simply: Why Do We Have Day and Night?</t>
        </is>
      </c>
      <c r="O27" s="15" t="inlineStr">
        <is>
          <t>Yes</t>
        </is>
      </c>
      <c r="P27" s="15" t="inlineStr">
        <is>
          <t>P1</t>
        </is>
      </c>
      <c r="Q27" s="15" t="inlineStr">
        <is>
          <t>Rendered</t>
        </is>
      </c>
      <c r="R27" s="48">
        <f>INDEX('Start Here'!$B$10:$B$16,WEEKDAY(C27,2))</f>
        <v/>
      </c>
      <c r="S27" s="48">
        <f>MOD(R27+'Start Here'!$B$6/24,1)</f>
        <v/>
      </c>
      <c r="T27" s="15" t="n"/>
      <c r="U27" s="15" t="n"/>
      <c r="V27" s="15" t="n"/>
      <c r="W27" s="15" t="n"/>
      <c r="X27" s="20" t="n"/>
      <c r="Y27" s="15" t="inlineStr">
        <is>
          <t>made 2026-10-09 → kids-shorts/tiny-sparks/science/day-026-why-do-we-have-day-and-night/output/day-026-final.mp4</t>
        </is>
      </c>
    </row>
    <row r="28">
      <c r="A28" s="15" t="n">
        <v>27</v>
      </c>
      <c r="B28" s="16">
        <f>INT((A28-1)/7)+1</f>
        <v/>
      </c>
      <c r="C28" s="47">
        <f>'Start Here'!$B$5+A28-1</f>
        <v/>
      </c>
      <c r="D28" s="16">
        <f>TEXT(C28,"ddd")</f>
        <v/>
      </c>
      <c r="E28" s="15" t="inlineStr">
        <is>
          <t>Puzzle Saturday</t>
        </is>
      </c>
      <c r="F28" s="25" t="inlineStr">
        <is>
          <t>🧩 Puzzles &amp; Problem-Solving</t>
        </is>
      </c>
      <c r="G28" s="15" t="n">
        <v>4</v>
      </c>
      <c r="H28" s="15" t="inlineStr">
        <is>
          <t>Which Animal Doesn't Belong?</t>
        </is>
      </c>
      <c r="I28" s="15" t="inlineStr">
        <is>
          <t>Which Animal Doesn't Belong? 🧩 | Brain Games for Kids | Tiny Sparks</t>
        </is>
      </c>
      <c r="J28" s="15" t="inlineStr">
        <is>
          <t>3–5</t>
        </is>
      </c>
      <c r="K28" s="15" t="inlineStr">
        <is>
          <t>Short 9:16</t>
        </is>
      </c>
      <c r="L28" s="15" t="inlineStr">
        <is>
          <t>45–60 s</t>
        </is>
      </c>
      <c r="M28" s="15" t="inlineStr">
        <is>
          <t>Prof. Hoot + Leo + score strip</t>
        </is>
      </c>
      <c r="N28" s="15" t="inlineStr">
        <is>
          <t>Thinking skill: matching/classifying</t>
        </is>
      </c>
      <c r="O28" s="15" t="inlineStr">
        <is>
          <t>Yes</t>
        </is>
      </c>
      <c r="P28" s="15" t="inlineStr">
        <is>
          <t>P1</t>
        </is>
      </c>
      <c r="Q28" s="15" t="inlineStr">
        <is>
          <t>Rendered</t>
        </is>
      </c>
      <c r="R28" s="48">
        <f>INDEX('Start Here'!$B$10:$B$16,WEEKDAY(C28,2))</f>
        <v/>
      </c>
      <c r="S28" s="48">
        <f>MOD(R28+'Start Here'!$B$6/24,1)</f>
        <v/>
      </c>
      <c r="T28" s="15" t="n"/>
      <c r="U28" s="15" t="n"/>
      <c r="V28" s="15" t="n"/>
      <c r="W28" s="15" t="n"/>
      <c r="X28" s="20" t="n"/>
      <c r="Y28" s="15" t="inlineStr">
        <is>
          <t>made 2026-10-10 → kids-shorts/tiny-sparks/puzzles/day-027-which-animal-doesn-t-belong/output/day-027-final.mp4</t>
        </is>
      </c>
    </row>
    <row r="29">
      <c r="A29" s="15" t="n">
        <v>28</v>
      </c>
      <c r="B29" s="16">
        <f>INT((A29-1)/7)+1</f>
        <v/>
      </c>
      <c r="C29" s="47">
        <f>'Start Here'!$B$5+A29-1</f>
        <v/>
      </c>
      <c r="D29" s="16">
        <f>TEXT(C29,"ddd")</f>
        <v/>
      </c>
      <c r="E29" s="15" t="inlineStr">
        <is>
          <t>Song Sunday</t>
        </is>
      </c>
      <c r="F29" s="26" t="inlineStr">
        <is>
          <t>🎵 Educational Songs</t>
        </is>
      </c>
      <c r="G29" s="15" t="n">
        <v>4</v>
      </c>
      <c r="H29" s="15" t="inlineStr">
        <is>
          <t>Colors Song</t>
        </is>
      </c>
      <c r="I29" s="15" t="inlineStr">
        <is>
          <t>Colors Song 🎵 | Kids Songs | Tiny Sparks</t>
        </is>
      </c>
      <c r="J29" s="15" t="inlineStr">
        <is>
          <t>3–5</t>
        </is>
      </c>
      <c r="K29" s="15" t="inlineStr">
        <is>
          <t>Long 16:9 + Short cut</t>
        </is>
      </c>
      <c r="L29" s="15" t="inlineStr">
        <is>
          <t>2–3 min (Short: 45 s chorus)</t>
        </is>
      </c>
      <c r="M29" s="15" t="inlineStr">
        <is>
          <t>Mila sings, all dance</t>
        </is>
      </c>
      <c r="N29" s="15" t="inlineStr">
        <is>
          <t>Sing &amp; learn: Colors</t>
        </is>
      </c>
      <c r="O29" s="15" t="inlineStr">
        <is>
          <t>Yes</t>
        </is>
      </c>
      <c r="P29" s="15" t="inlineStr">
        <is>
          <t>P1</t>
        </is>
      </c>
      <c r="Q29" s="15" t="inlineStr">
        <is>
          <t>Rendered</t>
        </is>
      </c>
      <c r="R29" s="48">
        <f>INDEX('Start Here'!$B$10:$B$16,WEEKDAY(C29,2))</f>
        <v/>
      </c>
      <c r="S29" s="48">
        <f>MOD(R29+'Start Here'!$B$6/24,1)</f>
        <v/>
      </c>
      <c r="T29" s="15" t="n"/>
      <c r="U29" s="15" t="n"/>
      <c r="V29" s="15" t="n"/>
      <c r="W29" s="15" t="n"/>
      <c r="X29" s="20" t="n"/>
      <c r="Y29" s="15" t="inlineStr">
        <is>
          <t>made 2026-10-10 → kids-shorts/tiny-sparks/songs/day-028-colors-song/output/day-028-final.mp4</t>
        </is>
      </c>
    </row>
    <row r="30">
      <c r="A30" s="15" t="n">
        <v>29</v>
      </c>
      <c r="B30" s="16">
        <f>INT((A30-1)/7)+1</f>
        <v/>
      </c>
      <c r="C30" s="47">
        <f>'Start Here'!$B$5+A30-1</f>
        <v/>
      </c>
      <c r="D30" s="16">
        <f>TEXT(C30,"ddd")</f>
        <v/>
      </c>
      <c r="E30" s="15" t="inlineStr">
        <is>
          <t>Story Monday</t>
        </is>
      </c>
      <c r="F30" s="18" t="inlineStr">
        <is>
          <t>🧠 Educational Stories</t>
        </is>
      </c>
      <c r="G30" s="15" t="n">
        <v>3</v>
      </c>
      <c r="H30" s="15" t="inlineStr">
        <is>
          <t>Benny Learns to Clean His Room</t>
        </is>
      </c>
      <c r="I30" s="15" t="inlineStr">
        <is>
          <t>Bobo Learns to Clean His Room 🧠 | Kids Stories | Tiny Sparks</t>
        </is>
      </c>
      <c r="J30" s="15" t="inlineStr">
        <is>
          <t>3–5</t>
        </is>
      </c>
      <c r="K30" s="15" t="inlineStr">
        <is>
          <t>Long 16:9 + Short teaser</t>
        </is>
      </c>
      <c r="L30" s="15" t="inlineStr">
        <is>
          <t>3–5 min (Short: 50 s)</t>
        </is>
      </c>
      <c r="M30" s="15" t="inlineStr">
        <is>
          <t>Bobo (lead) · Mila, Leo, Bobo + narrator</t>
        </is>
      </c>
      <c r="N30" s="15" t="inlineStr">
        <is>
          <t>Life skill: Clean His Room</t>
        </is>
      </c>
      <c r="O30" s="15" t="inlineStr">
        <is>
          <t>Yes</t>
        </is>
      </c>
      <c r="P30" s="15" t="inlineStr">
        <is>
          <t>P1</t>
        </is>
      </c>
      <c r="Q30" s="15" t="inlineStr">
        <is>
          <t>Rendered</t>
        </is>
      </c>
      <c r="R30" s="48">
        <f>INDEX('Start Here'!$B$10:$B$16,WEEKDAY(C30,2))</f>
        <v/>
      </c>
      <c r="S30" s="48">
        <f>MOD(R30+'Start Here'!$B$6/24,1)</f>
        <v/>
      </c>
      <c r="T30" s="15" t="n"/>
      <c r="U30" s="15" t="n"/>
      <c r="V30" s="15" t="n"/>
      <c r="W30" s="15" t="n"/>
      <c r="X30" s="20" t="n"/>
      <c r="Y30" s="15" t="inlineStr">
        <is>
          <t>made 2026-10-10 → kids-shorts/tiny-sparks/stories/day-029-bobo-learns-to-clean-his-room/output/day-029-final.mp4</t>
        </is>
      </c>
    </row>
    <row r="31">
      <c r="A31" s="15" t="n">
        <v>30</v>
      </c>
      <c r="B31" s="16">
        <f>INT((A31-1)/7)+1</f>
        <v/>
      </c>
      <c r="C31" s="47">
        <f>'Start Here'!$B$5+A31-1</f>
        <v/>
      </c>
      <c r="D31" s="16">
        <f>TEXT(C31,"ddd")</f>
        <v/>
      </c>
      <c r="E31" s="15" t="inlineStr">
        <is>
          <t>Math Tuesday</t>
        </is>
      </c>
      <c r="F31" s="21" t="inlineStr">
        <is>
          <t>🔢 Numbers &amp; Math</t>
        </is>
      </c>
      <c r="G31" s="15" t="n">
        <v>5</v>
      </c>
      <c r="H31" s="15" t="inlineStr">
        <is>
          <t>Count the Colorful Fish</t>
        </is>
      </c>
      <c r="I31" s="15" t="inlineStr">
        <is>
          <t>Count the Colorful Fish 🔢 | Learn Math for Kids | Tiny Sparks</t>
        </is>
      </c>
      <c r="J31" s="15" t="inlineStr">
        <is>
          <t>3–5</t>
        </is>
      </c>
      <c r="K31" s="15" t="inlineStr">
        <is>
          <t>Short 9:16</t>
        </is>
      </c>
      <c r="L31" s="15" t="inlineStr">
        <is>
          <t>45–60 s</t>
        </is>
      </c>
      <c r="M31" s="15" t="inlineStr">
        <is>
          <t>Bobo + Mila (counting fingers)</t>
        </is>
      </c>
      <c r="N31" s="15" t="inlineStr">
        <is>
          <t>Math: Count the Colorful Fish</t>
        </is>
      </c>
      <c r="O31" s="15" t="inlineStr">
        <is>
          <t>Build first: fish</t>
        </is>
      </c>
      <c r="P31" s="15" t="inlineStr">
        <is>
          <t>P1</t>
        </is>
      </c>
      <c r="Q31" s="15" t="inlineStr">
        <is>
          <t>Rendered</t>
        </is>
      </c>
      <c r="R31" s="48">
        <f>INDEX('Start Here'!$B$10:$B$16,WEEKDAY(C31,2))</f>
        <v/>
      </c>
      <c r="S31" s="48">
        <f>MOD(R31+'Start Here'!$B$6/24,1)</f>
        <v/>
      </c>
      <c r="T31" s="15" t="n"/>
      <c r="U31" s="15" t="n"/>
      <c r="V31" s="15" t="n"/>
      <c r="W31" s="15" t="n"/>
      <c r="X31" s="20" t="n"/>
      <c r="Y31" s="15" t="inlineStr">
        <is>
          <t>made 2026-10-10 → kids-shorts/tiny-sparks/numbers/day-030-count-the-colorful-fish/output/day-030-final.mp4</t>
        </is>
      </c>
    </row>
    <row r="32">
      <c r="A32" s="15" t="n">
        <v>31</v>
      </c>
      <c r="B32" s="16">
        <f>INT((A32-1)/7)+1</f>
        <v/>
      </c>
      <c r="C32" s="47">
        <f>'Start Here'!$B$5+A32-1</f>
        <v/>
      </c>
      <c r="D32" s="16">
        <f>TEXT(C32,"ddd")</f>
        <v/>
      </c>
      <c r="E32" s="15" t="inlineStr">
        <is>
          <t>Word Wednesday</t>
        </is>
      </c>
      <c r="F32" s="22" t="inlineStr">
        <is>
          <t>🔤 English/French Words</t>
        </is>
      </c>
      <c r="G32" s="15" t="n">
        <v>5</v>
      </c>
      <c r="H32" s="15" t="inlineStr">
        <is>
          <t>Fruits English/French</t>
        </is>
      </c>
      <c r="I32" s="15" t="inlineStr">
        <is>
          <t>Fruits English/French 🔤 | Kids Vocabulary | Tiny Sparks</t>
        </is>
      </c>
      <c r="J32" s="15" t="inlineStr">
        <is>
          <t>3–5</t>
        </is>
      </c>
      <c r="K32" s="15" t="inlineStr">
        <is>
          <t>Short 9:16</t>
        </is>
      </c>
      <c r="L32" s="15" t="inlineStr">
        <is>
          <t>45–60 s</t>
        </is>
      </c>
      <c r="M32" s="15" t="inlineStr">
        <is>
          <t>Mila + French narrator</t>
        </is>
      </c>
      <c r="N32" s="15" t="inlineStr">
        <is>
          <t>Vocabulary EN→FR: Fruits</t>
        </is>
      </c>
      <c r="O32" s="15" t="inlineStr">
        <is>
          <t>Yes</t>
        </is>
      </c>
      <c r="P32" s="15" t="inlineStr">
        <is>
          <t>P1</t>
        </is>
      </c>
      <c r="Q32" s="15" t="inlineStr">
        <is>
          <t>Rendered</t>
        </is>
      </c>
      <c r="R32" s="48">
        <f>INDEX('Start Here'!$B$10:$B$16,WEEKDAY(C32,2))</f>
        <v/>
      </c>
      <c r="S32" s="48">
        <f>MOD(R32+'Start Here'!$B$6/24,1)</f>
        <v/>
      </c>
      <c r="T32" s="15" t="n"/>
      <c r="U32" s="15" t="n"/>
      <c r="V32" s="15" t="n"/>
      <c r="W32" s="15" t="n"/>
      <c r="X32" s="20" t="n"/>
      <c r="Y32" s="15" t="inlineStr">
        <is>
          <t>made 2026-10-10 → kids-shorts/tiny-sparks/words/day-031-fruits-english-french/output/day-031-final.mp4</t>
        </is>
      </c>
    </row>
    <row r="33">
      <c r="A33" s="15" t="n">
        <v>32</v>
      </c>
      <c r="B33" s="16">
        <f>INT((A33-1)/7)+1</f>
        <v/>
      </c>
      <c r="C33" s="47">
        <f>'Start Here'!$B$5+A33-1</f>
        <v/>
      </c>
      <c r="D33" s="16">
        <f>TEXT(C33,"ddd")</f>
        <v/>
      </c>
      <c r="E33" s="15" t="inlineStr">
        <is>
          <t>Animal Thursday</t>
        </is>
      </c>
      <c r="F33" s="23" t="inlineStr">
        <is>
          <t>🦁 Animal Stories</t>
        </is>
      </c>
      <c r="G33" s="15" t="n">
        <v>5</v>
      </c>
      <c r="H33" s="15" t="inlineStr">
        <is>
          <t>Sammy the Turtle Learns Patience</t>
        </is>
      </c>
      <c r="I33" s="15" t="inlineStr">
        <is>
          <t>Sammy the Turtle Learns Patience 🦁 | Animal Stories for Kids | Tiny Sparks</t>
        </is>
      </c>
      <c r="J33" s="15" t="inlineStr">
        <is>
          <t>3–5</t>
        </is>
      </c>
      <c r="K33" s="15" t="inlineStr">
        <is>
          <t>Long 16:9 + Short teaser</t>
        </is>
      </c>
      <c r="L33" s="15" t="inlineStr">
        <is>
          <t>3–5 min (Short: 50 s)</t>
        </is>
      </c>
      <c r="M33" s="15" t="inlineStr">
        <is>
          <t>guest animal(s) + Bobo</t>
        </is>
      </c>
      <c r="N33" s="15" t="inlineStr">
        <is>
          <t>Story + 3 true animal facts; value: patience</t>
        </is>
      </c>
      <c r="O33" s="15" t="inlineStr">
        <is>
          <t>Build first: turtle</t>
        </is>
      </c>
      <c r="P33" s="15" t="inlineStr">
        <is>
          <t>P1</t>
        </is>
      </c>
      <c r="Q33" s="15" t="inlineStr">
        <is>
          <t>Rendered</t>
        </is>
      </c>
      <c r="R33" s="48">
        <f>INDEX('Start Here'!$B$10:$B$16,WEEKDAY(C33,2))</f>
        <v/>
      </c>
      <c r="S33" s="48">
        <f>MOD(R33+'Start Here'!$B$6/24,1)</f>
        <v/>
      </c>
      <c r="T33" s="15" t="n"/>
      <c r="U33" s="15" t="n"/>
      <c r="V33" s="15" t="n"/>
      <c r="W33" s="15" t="n"/>
      <c r="X33" s="20" t="n"/>
      <c r="Y33" s="15" t="inlineStr">
        <is>
          <t>made 2026-10-10 → kids-shorts/tiny-sparks/animals/day-032-sammy-the-turtle-learns-patience/output/day-032-final.mp4</t>
        </is>
      </c>
    </row>
    <row r="34">
      <c r="A34" s="15" t="n">
        <v>33</v>
      </c>
      <c r="B34" s="16">
        <f>INT((A34-1)/7)+1</f>
        <v/>
      </c>
      <c r="C34" s="47">
        <f>'Start Here'!$B$5+A34-1</f>
        <v/>
      </c>
      <c r="D34" s="16">
        <f>TEXT(C34,"ddd")</f>
        <v/>
      </c>
      <c r="E34" s="15" t="inlineStr">
        <is>
          <t>Science Friday</t>
        </is>
      </c>
      <c r="F34" s="24" t="inlineStr">
        <is>
          <t>🚀 Science for Kids</t>
        </is>
      </c>
      <c r="G34" s="15" t="n">
        <v>5</v>
      </c>
      <c r="H34" s="15" t="inlineStr">
        <is>
          <t>Why Do Seasons Change?</t>
        </is>
      </c>
      <c r="I34" s="15" t="inlineStr">
        <is>
          <t>Why Do Seasons Change? 🚀 | Science for Kids | Tiny Sparks</t>
        </is>
      </c>
      <c r="J34" s="15" t="inlineStr">
        <is>
          <t>3–5</t>
        </is>
      </c>
      <c r="K34" s="15" t="inlineStr">
        <is>
          <t>Short 9:16</t>
        </is>
      </c>
      <c r="L34" s="15" t="inlineStr">
        <is>
          <t>45–60 s</t>
        </is>
      </c>
      <c r="M34" s="15" t="inlineStr">
        <is>
          <t>Prof. Hoot + Leo (wrong guess) + Mila</t>
        </is>
      </c>
      <c r="N34" s="15" t="inlineStr">
        <is>
          <t>Answer simply: Why Do Seasons Change?</t>
        </is>
      </c>
      <c r="O34" s="15" t="inlineStr">
        <is>
          <t>Yes</t>
        </is>
      </c>
      <c r="P34" s="15" t="inlineStr">
        <is>
          <t>P1</t>
        </is>
      </c>
      <c r="Q34" s="15" t="inlineStr">
        <is>
          <t>Rendered</t>
        </is>
      </c>
      <c r="R34" s="48">
        <f>INDEX('Start Here'!$B$10:$B$16,WEEKDAY(C34,2))</f>
        <v/>
      </c>
      <c r="S34" s="48">
        <f>MOD(R34+'Start Here'!$B$6/24,1)</f>
        <v/>
      </c>
      <c r="T34" s="15" t="n"/>
      <c r="U34" s="15" t="n"/>
      <c r="V34" s="15" t="n"/>
      <c r="W34" s="15" t="n"/>
      <c r="X34" s="20" t="n"/>
      <c r="Y34" s="15" t="inlineStr">
        <is>
          <t>made 2026-10-10 → kids-shorts/tiny-sparks/science/day-033-why-do-seasons-change/output/day-033-final.mp4</t>
        </is>
      </c>
    </row>
    <row r="35">
      <c r="A35" s="15" t="n">
        <v>34</v>
      </c>
      <c r="B35" s="16">
        <f>INT((A35-1)/7)+1</f>
        <v/>
      </c>
      <c r="C35" s="47">
        <f>'Start Here'!$B$5+A35-1</f>
        <v/>
      </c>
      <c r="D35" s="16">
        <f>TEXT(C35,"ddd")</f>
        <v/>
      </c>
      <c r="E35" s="15" t="inlineStr">
        <is>
          <t>Puzzle Saturday</t>
        </is>
      </c>
      <c r="F35" s="25" t="inlineStr">
        <is>
          <t>🧩 Puzzles &amp; Problem-Solving</t>
        </is>
      </c>
      <c r="G35" s="15" t="n">
        <v>5</v>
      </c>
      <c r="H35" s="15" t="inlineStr">
        <is>
          <t>Which Object Doesn't Belong?</t>
        </is>
      </c>
      <c r="I35" s="15" t="inlineStr">
        <is>
          <t>Which Object Doesn't Belong? 🧩 | Brain Games for Kids | Tiny Sparks</t>
        </is>
      </c>
      <c r="J35" s="15" t="inlineStr">
        <is>
          <t>3–5</t>
        </is>
      </c>
      <c r="K35" s="15" t="inlineStr">
        <is>
          <t>Short 9:16</t>
        </is>
      </c>
      <c r="L35" s="15" t="inlineStr">
        <is>
          <t>45–60 s</t>
        </is>
      </c>
      <c r="M35" s="15" t="inlineStr">
        <is>
          <t>Prof. Hoot + Leo + score strip</t>
        </is>
      </c>
      <c r="N35" s="15" t="inlineStr">
        <is>
          <t>Thinking skill: matching/classifying</t>
        </is>
      </c>
      <c r="O35" s="15" t="inlineStr">
        <is>
          <t>Yes</t>
        </is>
      </c>
      <c r="P35" s="15" t="inlineStr">
        <is>
          <t>P1</t>
        </is>
      </c>
      <c r="Q35" s="15" t="inlineStr">
        <is>
          <t>Rendered</t>
        </is>
      </c>
      <c r="R35" s="48">
        <f>INDEX('Start Here'!$B$10:$B$16,WEEKDAY(C35,2))</f>
        <v/>
      </c>
      <c r="S35" s="48">
        <f>MOD(R35+'Start Here'!$B$6/24,1)</f>
        <v/>
      </c>
      <c r="T35" s="15" t="n"/>
      <c r="U35" s="15" t="n"/>
      <c r="V35" s="15" t="n"/>
      <c r="W35" s="15" t="n"/>
      <c r="X35" s="20" t="n"/>
      <c r="Y35" s="15" t="inlineStr">
        <is>
          <t>made 2026-10-21 → kids-shorts/tiny-sparks/puzzles/day-034-which-object-doesn-t-belong/output/day-034-final.mp4</t>
        </is>
      </c>
    </row>
    <row r="36">
      <c r="A36" s="15" t="n">
        <v>35</v>
      </c>
      <c r="B36" s="16">
        <f>INT((A36-1)/7)+1</f>
        <v/>
      </c>
      <c r="C36" s="47">
        <f>'Start Here'!$B$5+A36-1</f>
        <v/>
      </c>
      <c r="D36" s="16">
        <f>TEXT(C36,"ddd")</f>
        <v/>
      </c>
      <c r="E36" s="15" t="inlineStr">
        <is>
          <t>Song Sunday</t>
        </is>
      </c>
      <c r="F36" s="26" t="inlineStr">
        <is>
          <t>🎵 Educational Songs</t>
        </is>
      </c>
      <c r="G36" s="15" t="n">
        <v>5</v>
      </c>
      <c r="H36" s="15" t="inlineStr">
        <is>
          <t>Shapes Song</t>
        </is>
      </c>
      <c r="I36" s="15" t="inlineStr">
        <is>
          <t>Shapes Song 🎵 | Kids Songs | Tiny Sparks</t>
        </is>
      </c>
      <c r="J36" s="15" t="inlineStr">
        <is>
          <t>3–5</t>
        </is>
      </c>
      <c r="K36" s="15" t="inlineStr">
        <is>
          <t>Long 16:9 + Short cut</t>
        </is>
      </c>
      <c r="L36" s="15" t="inlineStr">
        <is>
          <t>2–3 min (Short: 45 s chorus)</t>
        </is>
      </c>
      <c r="M36" s="15" t="inlineStr">
        <is>
          <t>Mila sings, all dance</t>
        </is>
      </c>
      <c r="N36" s="15" t="inlineStr">
        <is>
          <t>Sing &amp; learn: Shapes</t>
        </is>
      </c>
      <c r="O36" s="15" t="inlineStr">
        <is>
          <t>Yes</t>
        </is>
      </c>
      <c r="P36" s="15" t="inlineStr">
        <is>
          <t>P1</t>
        </is>
      </c>
      <c r="Q36" s="15" t="inlineStr">
        <is>
          <t>Rendered</t>
        </is>
      </c>
      <c r="R36" s="48">
        <f>INDEX('Start Here'!$B$10:$B$16,WEEKDAY(C36,2))</f>
        <v/>
      </c>
      <c r="S36" s="48">
        <f>MOD(R36+'Start Here'!$B$6/24,1)</f>
        <v/>
      </c>
      <c r="T36" s="15" t="n"/>
      <c r="U36" s="15" t="n"/>
      <c r="V36" s="15" t="n"/>
      <c r="W36" s="15" t="n"/>
      <c r="X36" s="20" t="n"/>
      <c r="Y36" s="15" t="inlineStr">
        <is>
          <t>made 2026-10-21 → kids-shorts/tiny-sparks/songs/day-035-shapes-song/output/day-035-final.mp4</t>
        </is>
      </c>
    </row>
    <row r="37">
      <c r="A37" s="15" t="n">
        <v>36</v>
      </c>
      <c r="B37" s="16">
        <f>INT((A37-1)/7)+1</f>
        <v/>
      </c>
      <c r="C37" s="47">
        <f>'Start Here'!$B$5+A37-1</f>
        <v/>
      </c>
      <c r="D37" s="16">
        <f>TEXT(C37,"ddd")</f>
        <v/>
      </c>
      <c r="E37" s="15" t="inlineStr">
        <is>
          <t>Story Monday</t>
        </is>
      </c>
      <c r="F37" s="27" t="inlineStr">
        <is>
          <t>📚 Moral Stories</t>
        </is>
      </c>
      <c r="G37" s="15" t="n">
        <v>3</v>
      </c>
      <c r="H37" s="15" t="inlineStr">
        <is>
          <t>The Greedy Little Monkey</t>
        </is>
      </c>
      <c r="I37" s="15" t="inlineStr">
        <is>
          <t>The Greedy Little Monkey 📚 | Moral Stories for Kids | Tiny Sparks</t>
        </is>
      </c>
      <c r="J37" s="15" t="inlineStr">
        <is>
          <t>3–5</t>
        </is>
      </c>
      <c r="K37" s="15" t="inlineStr">
        <is>
          <t>Long 16:9 + Short teaser</t>
        </is>
      </c>
      <c r="L37" s="15" t="inlineStr">
        <is>
          <t>3–5 min (Short: 50 s)</t>
        </is>
      </c>
      <c r="M37" s="15" t="inlineStr">
        <is>
          <t>narrator + guest animals / Mila &amp; Leo</t>
        </is>
      </c>
      <c r="N37" s="15" t="inlineStr">
        <is>
          <t>Value: sharing</t>
        </is>
      </c>
      <c r="O37" s="15" t="inlineStr">
        <is>
          <t>Build first: monkey</t>
        </is>
      </c>
      <c r="P37" s="15" t="inlineStr">
        <is>
          <t>P1</t>
        </is>
      </c>
      <c r="Q37" s="15" t="inlineStr">
        <is>
          <t>Idea</t>
        </is>
      </c>
      <c r="R37" s="48">
        <f>INDEX('Start Here'!$B$10:$B$16,WEEKDAY(C37,2))</f>
        <v/>
      </c>
      <c r="S37" s="48">
        <f>MOD(R37+'Start Here'!$B$6/24,1)</f>
        <v/>
      </c>
      <c r="T37" s="15" t="n"/>
      <c r="U37" s="15" t="n"/>
      <c r="V37" s="15" t="n"/>
      <c r="W37" s="15" t="n"/>
      <c r="X37" s="20" t="n"/>
      <c r="Y37" s="15" t="n"/>
    </row>
    <row r="38">
      <c r="A38" s="15" t="n">
        <v>37</v>
      </c>
      <c r="B38" s="16">
        <f>INT((A38-1)/7)+1</f>
        <v/>
      </c>
      <c r="C38" s="47">
        <f>'Start Here'!$B$5+A38-1</f>
        <v/>
      </c>
      <c r="D38" s="16">
        <f>TEXT(C38,"ddd")</f>
        <v/>
      </c>
      <c r="E38" s="15" t="inlineStr">
        <is>
          <t>Math Tuesday</t>
        </is>
      </c>
      <c r="F38" s="21" t="inlineStr">
        <is>
          <t>🔢 Numbers &amp; Math</t>
        </is>
      </c>
      <c r="G38" s="15" t="n">
        <v>6</v>
      </c>
      <c r="H38" s="15" t="inlineStr">
        <is>
          <t>Numbers 1–20 with Dinosaurs</t>
        </is>
      </c>
      <c r="I38" s="15" t="inlineStr">
        <is>
          <t>Numbers 1–20 with Dinosaurs 🔢 | Learn Math for Kids | Tiny Sparks</t>
        </is>
      </c>
      <c r="J38" s="15" t="inlineStr">
        <is>
          <t>6–8</t>
        </is>
      </c>
      <c r="K38" s="15" t="inlineStr">
        <is>
          <t>Long 16:9</t>
        </is>
      </c>
      <c r="L38" s="15" t="inlineStr">
        <is>
          <t>4–8 min</t>
        </is>
      </c>
      <c r="M38" s="15" t="inlineStr">
        <is>
          <t>Bobo + Mila (counting fingers)</t>
        </is>
      </c>
      <c r="N38" s="15" t="inlineStr">
        <is>
          <t>Math: Numbers 1–20 with Dinosaurs</t>
        </is>
      </c>
      <c r="O38" s="15" t="inlineStr">
        <is>
          <t>Build first: dinosaurs</t>
        </is>
      </c>
      <c r="P38" s="15" t="inlineStr">
        <is>
          <t>P1</t>
        </is>
      </c>
      <c r="Q38" s="15" t="inlineStr">
        <is>
          <t>Idea</t>
        </is>
      </c>
      <c r="R38" s="48">
        <f>INDEX('Start Here'!$B$10:$B$16,WEEKDAY(C38,2))</f>
        <v/>
      </c>
      <c r="S38" s="48">
        <f>MOD(R38+'Start Here'!$B$6/24,1)</f>
        <v/>
      </c>
      <c r="T38" s="15" t="n"/>
      <c r="U38" s="15" t="n"/>
      <c r="V38" s="15" t="n"/>
      <c r="W38" s="15" t="n"/>
      <c r="X38" s="20" t="n"/>
      <c r="Y38" s="15" t="n"/>
    </row>
    <row r="39">
      <c r="A39" s="15" t="n">
        <v>38</v>
      </c>
      <c r="B39" s="16">
        <f>INT((A39-1)/7)+1</f>
        <v/>
      </c>
      <c r="C39" s="47">
        <f>'Start Here'!$B$5+A39-1</f>
        <v/>
      </c>
      <c r="D39" s="16">
        <f>TEXT(C39,"ddd")</f>
        <v/>
      </c>
      <c r="E39" s="15" t="inlineStr">
        <is>
          <t>Word Wednesday</t>
        </is>
      </c>
      <c r="F39" s="22" t="inlineStr">
        <is>
          <t>🔤 English/French Words</t>
        </is>
      </c>
      <c r="G39" s="15" t="n">
        <v>6</v>
      </c>
      <c r="H39" s="15" t="inlineStr">
        <is>
          <t>Vegetables English/French</t>
        </is>
      </c>
      <c r="I39" s="15" t="inlineStr">
        <is>
          <t>Vegetables English/French 🔤 | Kids Vocabulary | Tiny Sparks</t>
        </is>
      </c>
      <c r="J39" s="15" t="inlineStr">
        <is>
          <t>3–5</t>
        </is>
      </c>
      <c r="K39" s="15" t="inlineStr">
        <is>
          <t>Short 9:16</t>
        </is>
      </c>
      <c r="L39" s="15" t="inlineStr">
        <is>
          <t>45–60 s</t>
        </is>
      </c>
      <c r="M39" s="15" t="inlineStr">
        <is>
          <t>Mila + French narrator</t>
        </is>
      </c>
      <c r="N39" s="15" t="inlineStr">
        <is>
          <t>Vocabulary EN→FR: Vegetables</t>
        </is>
      </c>
      <c r="O39" s="15" t="inlineStr">
        <is>
          <t>Yes</t>
        </is>
      </c>
      <c r="P39" s="15" t="inlineStr">
        <is>
          <t>P1</t>
        </is>
      </c>
      <c r="Q39" s="15" t="inlineStr">
        <is>
          <t>Idea</t>
        </is>
      </c>
      <c r="R39" s="48">
        <f>INDEX('Start Here'!$B$10:$B$16,WEEKDAY(C39,2))</f>
        <v/>
      </c>
      <c r="S39" s="48">
        <f>MOD(R39+'Start Here'!$B$6/24,1)</f>
        <v/>
      </c>
      <c r="T39" s="15" t="n"/>
      <c r="U39" s="15" t="n"/>
      <c r="V39" s="15" t="n"/>
      <c r="W39" s="15" t="n"/>
      <c r="X39" s="20" t="n"/>
      <c r="Y39" s="15" t="n"/>
    </row>
    <row r="40">
      <c r="A40" s="15" t="n">
        <v>39</v>
      </c>
      <c r="B40" s="16">
        <f>INT((A40-1)/7)+1</f>
        <v/>
      </c>
      <c r="C40" s="47">
        <f>'Start Here'!$B$5+A40-1</f>
        <v/>
      </c>
      <c r="D40" s="16">
        <f>TEXT(C40,"ddd")</f>
        <v/>
      </c>
      <c r="E40" s="15" t="inlineStr">
        <is>
          <t>Animal Thursday</t>
        </is>
      </c>
      <c r="F40" s="23" t="inlineStr">
        <is>
          <t>🦁 Animal Stories</t>
        </is>
      </c>
      <c r="G40" s="15" t="n">
        <v>6</v>
      </c>
      <c r="H40" s="15" t="inlineStr">
        <is>
          <t>Oliver the Owl's First Flight</t>
        </is>
      </c>
      <c r="I40" s="15" t="inlineStr">
        <is>
          <t>Oliver the Owl's First Flight 🦁 | Animal Stories for Kids | Tiny Sparks</t>
        </is>
      </c>
      <c r="J40" s="15" t="inlineStr">
        <is>
          <t>3–5</t>
        </is>
      </c>
      <c r="K40" s="15" t="inlineStr">
        <is>
          <t>Long 16:9 + Short teaser</t>
        </is>
      </c>
      <c r="L40" s="15" t="inlineStr">
        <is>
          <t>3–5 min (Short: 50 s)</t>
        </is>
      </c>
      <c r="M40" s="15" t="inlineStr">
        <is>
          <t>guest animal(s) + Bobo</t>
        </is>
      </c>
      <c r="N40" s="15" t="inlineStr">
        <is>
          <t>Story + 3 true animal facts; value: friendship</t>
        </is>
      </c>
      <c r="O40" s="15" t="inlineStr">
        <is>
          <t>Yes</t>
        </is>
      </c>
      <c r="P40" s="15" t="inlineStr">
        <is>
          <t>P1</t>
        </is>
      </c>
      <c r="Q40" s="15" t="inlineStr">
        <is>
          <t>Idea</t>
        </is>
      </c>
      <c r="R40" s="48">
        <f>INDEX('Start Here'!$B$10:$B$16,WEEKDAY(C40,2))</f>
        <v/>
      </c>
      <c r="S40" s="48">
        <f>MOD(R40+'Start Here'!$B$6/24,1)</f>
        <v/>
      </c>
      <c r="T40" s="15" t="n"/>
      <c r="U40" s="15" t="n"/>
      <c r="V40" s="15" t="n"/>
      <c r="W40" s="15" t="n"/>
      <c r="X40" s="20" t="n"/>
      <c r="Y40" s="15" t="n"/>
    </row>
    <row r="41">
      <c r="A41" s="15" t="n">
        <v>40</v>
      </c>
      <c r="B41" s="16">
        <f>INT((A41-1)/7)+1</f>
        <v/>
      </c>
      <c r="C41" s="47">
        <f>'Start Here'!$B$5+A41-1</f>
        <v/>
      </c>
      <c r="D41" s="16">
        <f>TEXT(C41,"ddd")</f>
        <v/>
      </c>
      <c r="E41" s="15" t="inlineStr">
        <is>
          <t>Science Friday</t>
        </is>
      </c>
      <c r="F41" s="24" t="inlineStr">
        <is>
          <t>🚀 Science for Kids</t>
        </is>
      </c>
      <c r="G41" s="15" t="n">
        <v>6</v>
      </c>
      <c r="H41" s="15" t="inlineStr">
        <is>
          <t>What Are Clouds?</t>
        </is>
      </c>
      <c r="I41" s="15" t="inlineStr">
        <is>
          <t>What Are Clouds? 🚀 | Science for Kids | Tiny Sparks</t>
        </is>
      </c>
      <c r="J41" s="15" t="inlineStr">
        <is>
          <t>3–5</t>
        </is>
      </c>
      <c r="K41" s="15" t="inlineStr">
        <is>
          <t>Short 9:16</t>
        </is>
      </c>
      <c r="L41" s="15" t="inlineStr">
        <is>
          <t>45–60 s</t>
        </is>
      </c>
      <c r="M41" s="15" t="inlineStr">
        <is>
          <t>Prof. Hoot + Leo (wrong guess) + Mila</t>
        </is>
      </c>
      <c r="N41" s="15" t="inlineStr">
        <is>
          <t>Answer simply: What Are Clouds?</t>
        </is>
      </c>
      <c r="O41" s="15" t="inlineStr">
        <is>
          <t>Yes</t>
        </is>
      </c>
      <c r="P41" s="15" t="inlineStr">
        <is>
          <t>P1</t>
        </is>
      </c>
      <c r="Q41" s="15" t="inlineStr">
        <is>
          <t>Idea</t>
        </is>
      </c>
      <c r="R41" s="48">
        <f>INDEX('Start Here'!$B$10:$B$16,WEEKDAY(C41,2))</f>
        <v/>
      </c>
      <c r="S41" s="48">
        <f>MOD(R41+'Start Here'!$B$6/24,1)</f>
        <v/>
      </c>
      <c r="T41" s="15" t="n"/>
      <c r="U41" s="15" t="n"/>
      <c r="V41" s="15" t="n"/>
      <c r="W41" s="15" t="n"/>
      <c r="X41" s="20" t="n"/>
      <c r="Y41" s="15" t="n"/>
    </row>
    <row r="42">
      <c r="A42" s="15" t="n">
        <v>41</v>
      </c>
      <c r="B42" s="16">
        <f>INT((A42-1)/7)+1</f>
        <v/>
      </c>
      <c r="C42" s="47">
        <f>'Start Here'!$B$5+A42-1</f>
        <v/>
      </c>
      <c r="D42" s="16">
        <f>TEXT(C42,"ddd")</f>
        <v/>
      </c>
      <c r="E42" s="15" t="inlineStr">
        <is>
          <t>Puzzle Saturday</t>
        </is>
      </c>
      <c r="F42" s="25" t="inlineStr">
        <is>
          <t>🧩 Puzzles &amp; Problem-Solving</t>
        </is>
      </c>
      <c r="G42" s="15" t="n">
        <v>6</v>
      </c>
      <c r="H42" s="15" t="inlineStr">
        <is>
          <t>Find the Different Animal</t>
        </is>
      </c>
      <c r="I42" s="15" t="inlineStr">
        <is>
          <t>Find the Different Animal 🧩 | Brain Games for Kids | Tiny Sparks</t>
        </is>
      </c>
      <c r="J42" s="15" t="inlineStr">
        <is>
          <t>3–5</t>
        </is>
      </c>
      <c r="K42" s="15" t="inlineStr">
        <is>
          <t>Short 9:16</t>
        </is>
      </c>
      <c r="L42" s="15" t="inlineStr">
        <is>
          <t>45–60 s</t>
        </is>
      </c>
      <c r="M42" s="15" t="inlineStr">
        <is>
          <t>Prof. Hoot + Leo + score strip</t>
        </is>
      </c>
      <c r="N42" s="15" t="inlineStr">
        <is>
          <t>Thinking skill: observation</t>
        </is>
      </c>
      <c r="O42" s="15" t="inlineStr">
        <is>
          <t>Yes</t>
        </is>
      </c>
      <c r="P42" s="15" t="inlineStr">
        <is>
          <t>P1</t>
        </is>
      </c>
      <c r="Q42" s="15" t="inlineStr">
        <is>
          <t>Idea</t>
        </is>
      </c>
      <c r="R42" s="48">
        <f>INDEX('Start Here'!$B$10:$B$16,WEEKDAY(C42,2))</f>
        <v/>
      </c>
      <c r="S42" s="48">
        <f>MOD(R42+'Start Here'!$B$6/24,1)</f>
        <v/>
      </c>
      <c r="T42" s="15" t="n"/>
      <c r="U42" s="15" t="n"/>
      <c r="V42" s="15" t="n"/>
      <c r="W42" s="15" t="n"/>
      <c r="X42" s="20" t="n"/>
      <c r="Y42" s="15" t="n"/>
    </row>
    <row r="43">
      <c r="A43" s="15" t="n">
        <v>42</v>
      </c>
      <c r="B43" s="16">
        <f>INT((A43-1)/7)+1</f>
        <v/>
      </c>
      <c r="C43" s="47">
        <f>'Start Here'!$B$5+A43-1</f>
        <v/>
      </c>
      <c r="D43" s="16">
        <f>TEXT(C43,"ddd")</f>
        <v/>
      </c>
      <c r="E43" s="15" t="inlineStr">
        <is>
          <t>Song Sunday</t>
        </is>
      </c>
      <c r="F43" s="26" t="inlineStr">
        <is>
          <t>🎵 Educational Songs</t>
        </is>
      </c>
      <c r="G43" s="15" t="n">
        <v>6</v>
      </c>
      <c r="H43" s="15" t="inlineStr">
        <is>
          <t>Days of the Week Song</t>
        </is>
      </c>
      <c r="I43" s="15" t="inlineStr">
        <is>
          <t>Days of the Week Song 🎵 | Kids Songs | Tiny Sparks</t>
        </is>
      </c>
      <c r="J43" s="15" t="inlineStr">
        <is>
          <t>3–5</t>
        </is>
      </c>
      <c r="K43" s="15" t="inlineStr">
        <is>
          <t>Long 16:9 + Short cut</t>
        </is>
      </c>
      <c r="L43" s="15" t="inlineStr">
        <is>
          <t>2–3 min (Short: 45 s chorus)</t>
        </is>
      </c>
      <c r="M43" s="15" t="inlineStr">
        <is>
          <t>Mila sings, all dance</t>
        </is>
      </c>
      <c r="N43" s="15" t="inlineStr">
        <is>
          <t>Sing &amp; learn: Days of the Week</t>
        </is>
      </c>
      <c r="O43" s="15" t="inlineStr">
        <is>
          <t>Yes</t>
        </is>
      </c>
      <c r="P43" s="15" t="inlineStr">
        <is>
          <t>P1</t>
        </is>
      </c>
      <c r="Q43" s="15" t="inlineStr">
        <is>
          <t>Idea</t>
        </is>
      </c>
      <c r="R43" s="48">
        <f>INDEX('Start Here'!$B$10:$B$16,WEEKDAY(C43,2))</f>
        <v/>
      </c>
      <c r="S43" s="48">
        <f>MOD(R43+'Start Here'!$B$6/24,1)</f>
        <v/>
      </c>
      <c r="T43" s="15" t="n"/>
      <c r="U43" s="15" t="n"/>
      <c r="V43" s="15" t="n"/>
      <c r="W43" s="15" t="n"/>
      <c r="X43" s="20" t="n"/>
      <c r="Y43" s="15" t="n"/>
    </row>
    <row r="44">
      <c r="A44" s="15" t="n">
        <v>43</v>
      </c>
      <c r="B44" s="16">
        <f>INT((A44-1)/7)+1</f>
        <v/>
      </c>
      <c r="C44" s="47">
        <f>'Start Here'!$B$5+A44-1</f>
        <v/>
      </c>
      <c r="D44" s="16">
        <f>TEXT(C44,"ddd")</f>
        <v/>
      </c>
      <c r="E44" s="15" t="inlineStr">
        <is>
          <t>Story Monday</t>
        </is>
      </c>
      <c r="F44" s="18" t="inlineStr">
        <is>
          <t>🧠 Educational Stories</t>
        </is>
      </c>
      <c r="G44" s="15" t="n">
        <v>4</v>
      </c>
      <c r="H44" s="15" t="inlineStr">
        <is>
          <t>The Day Emma Learned Patience</t>
        </is>
      </c>
      <c r="I44" s="15" t="inlineStr">
        <is>
          <t>The Day Mila Learned Patience 🧠 | Kids Stories | Tiny Sparks</t>
        </is>
      </c>
      <c r="J44" s="15" t="inlineStr">
        <is>
          <t>3–5</t>
        </is>
      </c>
      <c r="K44" s="15" t="inlineStr">
        <is>
          <t>Long 16:9 + Short teaser</t>
        </is>
      </c>
      <c r="L44" s="15" t="inlineStr">
        <is>
          <t>3–5 min (Short: 50 s)</t>
        </is>
      </c>
      <c r="M44" s="15" t="inlineStr">
        <is>
          <t>Mila (lead) · Mila, Leo, Bobo + narrator</t>
        </is>
      </c>
      <c r="N44" s="15" t="inlineStr">
        <is>
          <t>Life skill: Patience</t>
        </is>
      </c>
      <c r="O44" s="15" t="inlineStr">
        <is>
          <t>Yes</t>
        </is>
      </c>
      <c r="P44" s="15" t="inlineStr">
        <is>
          <t>P1</t>
        </is>
      </c>
      <c r="Q44" s="15" t="inlineStr">
        <is>
          <t>Idea</t>
        </is>
      </c>
      <c r="R44" s="48">
        <f>INDEX('Start Here'!$B$10:$B$16,WEEKDAY(C44,2))</f>
        <v/>
      </c>
      <c r="S44" s="48">
        <f>MOD(R44+'Start Here'!$B$6/24,1)</f>
        <v/>
      </c>
      <c r="T44" s="15" t="n"/>
      <c r="U44" s="15" t="n"/>
      <c r="V44" s="15" t="n"/>
      <c r="W44" s="15" t="n"/>
      <c r="X44" s="20" t="n"/>
      <c r="Y44" s="15" t="n"/>
    </row>
    <row r="45">
      <c r="A45" s="15" t="n">
        <v>44</v>
      </c>
      <c r="B45" s="16">
        <f>INT((A45-1)/7)+1</f>
        <v/>
      </c>
      <c r="C45" s="47">
        <f>'Start Here'!$B$5+A45-1</f>
        <v/>
      </c>
      <c r="D45" s="16">
        <f>TEXT(C45,"ddd")</f>
        <v/>
      </c>
      <c r="E45" s="15" t="inlineStr">
        <is>
          <t>Math Tuesday</t>
        </is>
      </c>
      <c r="F45" s="21" t="inlineStr">
        <is>
          <t>🔢 Numbers &amp; Math</t>
        </is>
      </c>
      <c r="G45" s="15" t="n">
        <v>7</v>
      </c>
      <c r="H45" s="15" t="inlineStr">
        <is>
          <t>Count the Farm Animals</t>
        </is>
      </c>
      <c r="I45" s="15" t="inlineStr">
        <is>
          <t>Count the Farm Animals 🔢 | Learn Math for Kids | Tiny Sparks</t>
        </is>
      </c>
      <c r="J45" s="15" t="inlineStr">
        <is>
          <t>3–5</t>
        </is>
      </c>
      <c r="K45" s="15" t="inlineStr">
        <is>
          <t>Short 9:16</t>
        </is>
      </c>
      <c r="L45" s="15" t="inlineStr">
        <is>
          <t>45–60 s</t>
        </is>
      </c>
      <c r="M45" s="15" t="inlineStr">
        <is>
          <t>Bobo + Mila (counting fingers)</t>
        </is>
      </c>
      <c r="N45" s="15" t="inlineStr">
        <is>
          <t>Math: Count the Farm Animals</t>
        </is>
      </c>
      <c r="O45" s="15" t="inlineStr">
        <is>
          <t>Build first: farm animals</t>
        </is>
      </c>
      <c r="P45" s="15" t="inlineStr">
        <is>
          <t>P1</t>
        </is>
      </c>
      <c r="Q45" s="15" t="inlineStr">
        <is>
          <t>Idea</t>
        </is>
      </c>
      <c r="R45" s="48">
        <f>INDEX('Start Here'!$B$10:$B$16,WEEKDAY(C45,2))</f>
        <v/>
      </c>
      <c r="S45" s="48">
        <f>MOD(R45+'Start Here'!$B$6/24,1)</f>
        <v/>
      </c>
      <c r="T45" s="15" t="n"/>
      <c r="U45" s="15" t="n"/>
      <c r="V45" s="15" t="n"/>
      <c r="W45" s="15" t="n"/>
      <c r="X45" s="20" t="n"/>
      <c r="Y45" s="15" t="n"/>
    </row>
    <row r="46">
      <c r="A46" s="15" t="n">
        <v>45</v>
      </c>
      <c r="B46" s="16">
        <f>INT((A46-1)/7)+1</f>
        <v/>
      </c>
      <c r="C46" s="47">
        <f>'Start Here'!$B$5+A46-1</f>
        <v/>
      </c>
      <c r="D46" s="16">
        <f>TEXT(C46,"ddd")</f>
        <v/>
      </c>
      <c r="E46" s="15" t="inlineStr">
        <is>
          <t>Word Wednesday</t>
        </is>
      </c>
      <c r="F46" s="22" t="inlineStr">
        <is>
          <t>🔤 English/French Words</t>
        </is>
      </c>
      <c r="G46" s="15" t="n">
        <v>7</v>
      </c>
      <c r="H46" s="15" t="inlineStr">
        <is>
          <t>School Objects English/French</t>
        </is>
      </c>
      <c r="I46" s="15" t="inlineStr">
        <is>
          <t>School Objects English/French 🔤 | Kids Vocabulary | Tiny Sparks</t>
        </is>
      </c>
      <c r="J46" s="15" t="inlineStr">
        <is>
          <t>3–5</t>
        </is>
      </c>
      <c r="K46" s="15" t="inlineStr">
        <is>
          <t>Short 9:16</t>
        </is>
      </c>
      <c r="L46" s="15" t="inlineStr">
        <is>
          <t>45–60 s</t>
        </is>
      </c>
      <c r="M46" s="15" t="inlineStr">
        <is>
          <t>Mila + French narrator</t>
        </is>
      </c>
      <c r="N46" s="15" t="inlineStr">
        <is>
          <t>Vocabulary EN→FR: School Objects</t>
        </is>
      </c>
      <c r="O46" s="15" t="inlineStr">
        <is>
          <t>Yes</t>
        </is>
      </c>
      <c r="P46" s="15" t="inlineStr">
        <is>
          <t>P1</t>
        </is>
      </c>
      <c r="Q46" s="15" t="inlineStr">
        <is>
          <t>Idea</t>
        </is>
      </c>
      <c r="R46" s="48">
        <f>INDEX('Start Here'!$B$10:$B$16,WEEKDAY(C46,2))</f>
        <v/>
      </c>
      <c r="S46" s="48">
        <f>MOD(R46+'Start Here'!$B$6/24,1)</f>
        <v/>
      </c>
      <c r="T46" s="15" t="n"/>
      <c r="U46" s="15" t="n"/>
      <c r="V46" s="15" t="n"/>
      <c r="W46" s="15" t="n"/>
      <c r="X46" s="20" t="n"/>
      <c r="Y46" s="15" t="n"/>
    </row>
    <row r="47">
      <c r="A47" s="15" t="n">
        <v>46</v>
      </c>
      <c r="B47" s="16">
        <f>INT((A47-1)/7)+1</f>
        <v/>
      </c>
      <c r="C47" s="47">
        <f>'Start Here'!$B$5+A47-1</f>
        <v/>
      </c>
      <c r="D47" s="16">
        <f>TEXT(C47,"ddd")</f>
        <v/>
      </c>
      <c r="E47" s="15" t="inlineStr">
        <is>
          <t>Animal Thursday</t>
        </is>
      </c>
      <c r="F47" s="23" t="inlineStr">
        <is>
          <t>🦁 Animal Stories</t>
        </is>
      </c>
      <c r="G47" s="15" t="n">
        <v>7</v>
      </c>
      <c r="H47" s="15" t="inlineStr">
        <is>
          <t>Coco the Penguin Finds a Friend</t>
        </is>
      </c>
      <c r="I47" s="15" t="inlineStr">
        <is>
          <t>Coco the Penguin Finds a Friend 🦁 | Animal Stories for Kids | Tiny Sparks</t>
        </is>
      </c>
      <c r="J47" s="15" t="inlineStr">
        <is>
          <t>3–5</t>
        </is>
      </c>
      <c r="K47" s="15" t="inlineStr">
        <is>
          <t>Long 16:9 + Short teaser</t>
        </is>
      </c>
      <c r="L47" s="15" t="inlineStr">
        <is>
          <t>3–5 min (Short: 50 s)</t>
        </is>
      </c>
      <c r="M47" s="15" t="inlineStr">
        <is>
          <t>guest animal(s) + Bobo</t>
        </is>
      </c>
      <c r="N47" s="15" t="inlineStr">
        <is>
          <t>Story + 3 true animal facts; value: friendship</t>
        </is>
      </c>
      <c r="O47" s="15" t="inlineStr">
        <is>
          <t>Build first: penguin</t>
        </is>
      </c>
      <c r="P47" s="15" t="inlineStr">
        <is>
          <t>P1</t>
        </is>
      </c>
      <c r="Q47" s="15" t="inlineStr">
        <is>
          <t>Idea</t>
        </is>
      </c>
      <c r="R47" s="48">
        <f>INDEX('Start Here'!$B$10:$B$16,WEEKDAY(C47,2))</f>
        <v/>
      </c>
      <c r="S47" s="48">
        <f>MOD(R47+'Start Here'!$B$6/24,1)</f>
        <v/>
      </c>
      <c r="T47" s="15" t="n"/>
      <c r="U47" s="15" t="n"/>
      <c r="V47" s="15" t="n"/>
      <c r="W47" s="15" t="n"/>
      <c r="X47" s="20" t="n"/>
      <c r="Y47" s="15" t="n"/>
    </row>
    <row r="48">
      <c r="A48" s="15" t="n">
        <v>47</v>
      </c>
      <c r="B48" s="16">
        <f>INT((A48-1)/7)+1</f>
        <v/>
      </c>
      <c r="C48" s="47">
        <f>'Start Here'!$B$5+A48-1</f>
        <v/>
      </c>
      <c r="D48" s="16">
        <f>TEXT(C48,"ddd")</f>
        <v/>
      </c>
      <c r="E48" s="15" t="inlineStr">
        <is>
          <t>Science Friday</t>
        </is>
      </c>
      <c r="F48" s="24" t="inlineStr">
        <is>
          <t>🚀 Science for Kids</t>
        </is>
      </c>
      <c r="G48" s="15" t="n">
        <v>7</v>
      </c>
      <c r="H48" s="15" t="inlineStr">
        <is>
          <t>How Does Rain Form?</t>
        </is>
      </c>
      <c r="I48" s="15" t="inlineStr">
        <is>
          <t>How Does Rain Form? 🚀 | Science for Kids | Tiny Sparks</t>
        </is>
      </c>
      <c r="J48" s="15" t="inlineStr">
        <is>
          <t>3–5</t>
        </is>
      </c>
      <c r="K48" s="15" t="inlineStr">
        <is>
          <t>Short 9:16</t>
        </is>
      </c>
      <c r="L48" s="15" t="inlineStr">
        <is>
          <t>45–60 s</t>
        </is>
      </c>
      <c r="M48" s="15" t="inlineStr">
        <is>
          <t>Prof. Hoot + Leo (wrong guess) + Mila</t>
        </is>
      </c>
      <c r="N48" s="15" t="inlineStr">
        <is>
          <t>Answer simply: How Does Rain Form?</t>
        </is>
      </c>
      <c r="O48" s="15" t="inlineStr">
        <is>
          <t>Yes</t>
        </is>
      </c>
      <c r="P48" s="15" t="inlineStr">
        <is>
          <t>P1</t>
        </is>
      </c>
      <c r="Q48" s="15" t="inlineStr">
        <is>
          <t>Idea</t>
        </is>
      </c>
      <c r="R48" s="48">
        <f>INDEX('Start Here'!$B$10:$B$16,WEEKDAY(C48,2))</f>
        <v/>
      </c>
      <c r="S48" s="48">
        <f>MOD(R48+'Start Here'!$B$6/24,1)</f>
        <v/>
      </c>
      <c r="T48" s="15" t="n"/>
      <c r="U48" s="15" t="n"/>
      <c r="V48" s="15" t="n"/>
      <c r="W48" s="15" t="n"/>
      <c r="X48" s="20" t="n"/>
      <c r="Y48" s="15" t="n"/>
    </row>
    <row r="49">
      <c r="A49" s="15" t="n">
        <v>48</v>
      </c>
      <c r="B49" s="16">
        <f>INT((A49-1)/7)+1</f>
        <v/>
      </c>
      <c r="C49" s="47">
        <f>'Start Here'!$B$5+A49-1</f>
        <v/>
      </c>
      <c r="D49" s="16">
        <f>TEXT(C49,"ddd")</f>
        <v/>
      </c>
      <c r="E49" s="15" t="inlineStr">
        <is>
          <t>Puzzle Saturday</t>
        </is>
      </c>
      <c r="F49" s="25" t="inlineStr">
        <is>
          <t>🧩 Puzzles &amp; Problem-Solving</t>
        </is>
      </c>
      <c r="G49" s="15" t="n">
        <v>7</v>
      </c>
      <c r="H49" s="15" t="inlineStr">
        <is>
          <t>Find the Different Shape</t>
        </is>
      </c>
      <c r="I49" s="15" t="inlineStr">
        <is>
          <t>Find the Different Shape 🧩 | Brain Games for Kids | Tiny Sparks</t>
        </is>
      </c>
      <c r="J49" s="15" t="inlineStr">
        <is>
          <t>3–5</t>
        </is>
      </c>
      <c r="K49" s="15" t="inlineStr">
        <is>
          <t>Short 9:16</t>
        </is>
      </c>
      <c r="L49" s="15" t="inlineStr">
        <is>
          <t>45–60 s</t>
        </is>
      </c>
      <c r="M49" s="15" t="inlineStr">
        <is>
          <t>Prof. Hoot + Leo + score strip</t>
        </is>
      </c>
      <c r="N49" s="15" t="inlineStr">
        <is>
          <t>Thinking skill: observation</t>
        </is>
      </c>
      <c r="O49" s="15" t="inlineStr">
        <is>
          <t>Yes</t>
        </is>
      </c>
      <c r="P49" s="15" t="inlineStr">
        <is>
          <t>P1</t>
        </is>
      </c>
      <c r="Q49" s="15" t="inlineStr">
        <is>
          <t>Idea</t>
        </is>
      </c>
      <c r="R49" s="48">
        <f>INDEX('Start Here'!$B$10:$B$16,WEEKDAY(C49,2))</f>
        <v/>
      </c>
      <c r="S49" s="48">
        <f>MOD(R49+'Start Here'!$B$6/24,1)</f>
        <v/>
      </c>
      <c r="T49" s="15" t="n"/>
      <c r="U49" s="15" t="n"/>
      <c r="V49" s="15" t="n"/>
      <c r="W49" s="15" t="n"/>
      <c r="X49" s="20" t="n"/>
      <c r="Y49" s="15" t="n"/>
    </row>
    <row r="50">
      <c r="A50" s="15" t="n">
        <v>49</v>
      </c>
      <c r="B50" s="16">
        <f>INT((A50-1)/7)+1</f>
        <v/>
      </c>
      <c r="C50" s="47">
        <f>'Start Here'!$B$5+A50-1</f>
        <v/>
      </c>
      <c r="D50" s="16">
        <f>TEXT(C50,"ddd")</f>
        <v/>
      </c>
      <c r="E50" s="15" t="inlineStr">
        <is>
          <t>Song Sunday</t>
        </is>
      </c>
      <c r="F50" s="26" t="inlineStr">
        <is>
          <t>🎵 Educational Songs</t>
        </is>
      </c>
      <c r="G50" s="15" t="n">
        <v>7</v>
      </c>
      <c r="H50" s="15" t="inlineStr">
        <is>
          <t>Months of the Year Song</t>
        </is>
      </c>
      <c r="I50" s="15" t="inlineStr">
        <is>
          <t>Months of the Year Song 🎵 | Kids Songs | Tiny Sparks</t>
        </is>
      </c>
      <c r="J50" s="15" t="inlineStr">
        <is>
          <t>6–8</t>
        </is>
      </c>
      <c r="K50" s="15" t="inlineStr">
        <is>
          <t>Long 16:9 + Short cut</t>
        </is>
      </c>
      <c r="L50" s="15" t="inlineStr">
        <is>
          <t>2–3 min (Short: 45 s chorus)</t>
        </is>
      </c>
      <c r="M50" s="15" t="inlineStr">
        <is>
          <t>Mila sings, all dance</t>
        </is>
      </c>
      <c r="N50" s="15" t="inlineStr">
        <is>
          <t>Sing &amp; learn: Months of the Year</t>
        </is>
      </c>
      <c r="O50" s="15" t="inlineStr">
        <is>
          <t>Yes</t>
        </is>
      </c>
      <c r="P50" s="15" t="inlineStr">
        <is>
          <t>P1</t>
        </is>
      </c>
      <c r="Q50" s="15" t="inlineStr">
        <is>
          <t>Idea</t>
        </is>
      </c>
      <c r="R50" s="48">
        <f>INDEX('Start Here'!$B$10:$B$16,WEEKDAY(C50,2))</f>
        <v/>
      </c>
      <c r="S50" s="48">
        <f>MOD(R50+'Start Here'!$B$6/24,1)</f>
        <v/>
      </c>
      <c r="T50" s="15" t="n"/>
      <c r="U50" s="15" t="n"/>
      <c r="V50" s="15" t="n"/>
      <c r="W50" s="15" t="n"/>
      <c r="X50" s="20" t="n"/>
      <c r="Y50" s="15" t="n"/>
    </row>
    <row r="51">
      <c r="A51" s="15" t="n">
        <v>50</v>
      </c>
      <c r="B51" s="16">
        <f>INT((A51-1)/7)+1</f>
        <v/>
      </c>
      <c r="C51" s="47">
        <f>'Start Here'!$B$5+A51-1</f>
        <v/>
      </c>
      <c r="D51" s="16">
        <f>TEXT(C51,"ddd")</f>
        <v/>
      </c>
      <c r="E51" s="15" t="inlineStr">
        <is>
          <t>Story Monday</t>
        </is>
      </c>
      <c r="F51" s="27" t="inlineStr">
        <is>
          <t>📚 Moral Stories</t>
        </is>
      </c>
      <c r="G51" s="15" t="n">
        <v>4</v>
      </c>
      <c r="H51" s="15" t="inlineStr">
        <is>
          <t>The Kind Little Rabbit</t>
        </is>
      </c>
      <c r="I51" s="15" t="inlineStr">
        <is>
          <t>The Kind Little Rabbit 📚 | Moral Stories for Kids | Tiny Sparks</t>
        </is>
      </c>
      <c r="J51" s="15" t="inlineStr">
        <is>
          <t>3–5</t>
        </is>
      </c>
      <c r="K51" s="15" t="inlineStr">
        <is>
          <t>Long 16:9 + Short teaser</t>
        </is>
      </c>
      <c r="L51" s="15" t="inlineStr">
        <is>
          <t>3–5 min (Short: 50 s)</t>
        </is>
      </c>
      <c r="M51" s="15" t="inlineStr">
        <is>
          <t>narrator + guest animals / Mila &amp; Leo</t>
        </is>
      </c>
      <c r="N51" s="15" t="inlineStr">
        <is>
          <t>Value: kindness</t>
        </is>
      </c>
      <c r="O51" s="15" t="inlineStr">
        <is>
          <t>Yes</t>
        </is>
      </c>
      <c r="P51" s="15" t="inlineStr">
        <is>
          <t>P1</t>
        </is>
      </c>
      <c r="Q51" s="15" t="inlineStr">
        <is>
          <t>Idea</t>
        </is>
      </c>
      <c r="R51" s="48">
        <f>INDEX('Start Here'!$B$10:$B$16,WEEKDAY(C51,2))</f>
        <v/>
      </c>
      <c r="S51" s="48">
        <f>MOD(R51+'Start Here'!$B$6/24,1)</f>
        <v/>
      </c>
      <c r="T51" s="15" t="n"/>
      <c r="U51" s="15" t="n"/>
      <c r="V51" s="15" t="n"/>
      <c r="W51" s="15" t="n"/>
      <c r="X51" s="20" t="n"/>
      <c r="Y51" s="15" t="n"/>
    </row>
    <row r="52">
      <c r="A52" s="15" t="n">
        <v>51</v>
      </c>
      <c r="B52" s="16">
        <f>INT((A52-1)/7)+1</f>
        <v/>
      </c>
      <c r="C52" s="47">
        <f>'Start Here'!$B$5+A52-1</f>
        <v/>
      </c>
      <c r="D52" s="16">
        <f>TEXT(C52,"ddd")</f>
        <v/>
      </c>
      <c r="E52" s="15" t="inlineStr">
        <is>
          <t>Math Tuesday</t>
        </is>
      </c>
      <c r="F52" s="21" t="inlineStr">
        <is>
          <t>🔢 Numbers &amp; Math</t>
        </is>
      </c>
      <c r="G52" s="15" t="n">
        <v>8</v>
      </c>
      <c r="H52" s="15" t="inlineStr">
        <is>
          <t>Count the Butterflies</t>
        </is>
      </c>
      <c r="I52" s="15" t="inlineStr">
        <is>
          <t>Count the Butterflies 🔢 | Learn Math for Kids | Tiny Sparks</t>
        </is>
      </c>
      <c r="J52" s="15" t="inlineStr">
        <is>
          <t>3–5</t>
        </is>
      </c>
      <c r="K52" s="15" t="inlineStr">
        <is>
          <t>Short 9:16</t>
        </is>
      </c>
      <c r="L52" s="15" t="inlineStr">
        <is>
          <t>45–60 s</t>
        </is>
      </c>
      <c r="M52" s="15" t="inlineStr">
        <is>
          <t>Bobo + Mila (counting fingers)</t>
        </is>
      </c>
      <c r="N52" s="15" t="inlineStr">
        <is>
          <t>Math: Count the Butterflies</t>
        </is>
      </c>
      <c r="O52" s="15" t="inlineStr">
        <is>
          <t>Build first: butterflies</t>
        </is>
      </c>
      <c r="P52" s="15" t="inlineStr">
        <is>
          <t>P1</t>
        </is>
      </c>
      <c r="Q52" s="15" t="inlineStr">
        <is>
          <t>Idea</t>
        </is>
      </c>
      <c r="R52" s="48">
        <f>INDEX('Start Here'!$B$10:$B$16,WEEKDAY(C52,2))</f>
        <v/>
      </c>
      <c r="S52" s="48">
        <f>MOD(R52+'Start Here'!$B$6/24,1)</f>
        <v/>
      </c>
      <c r="T52" s="15" t="n"/>
      <c r="U52" s="15" t="n"/>
      <c r="V52" s="15" t="n"/>
      <c r="W52" s="15" t="n"/>
      <c r="X52" s="20" t="n"/>
      <c r="Y52" s="15" t="n"/>
    </row>
    <row r="53">
      <c r="A53" s="15" t="n">
        <v>52</v>
      </c>
      <c r="B53" s="16">
        <f>INT((A53-1)/7)+1</f>
        <v/>
      </c>
      <c r="C53" s="47">
        <f>'Start Here'!$B$5+A53-1</f>
        <v/>
      </c>
      <c r="D53" s="16">
        <f>TEXT(C53,"ddd")</f>
        <v/>
      </c>
      <c r="E53" s="15" t="inlineStr">
        <is>
          <t>Word Wednesday</t>
        </is>
      </c>
      <c r="F53" s="22" t="inlineStr">
        <is>
          <t>🔤 English/French Words</t>
        </is>
      </c>
      <c r="G53" s="15" t="n">
        <v>8</v>
      </c>
      <c r="H53" s="15" t="inlineStr">
        <is>
          <t>Toys English/French</t>
        </is>
      </c>
      <c r="I53" s="15" t="inlineStr">
        <is>
          <t>Toys English/French 🔤 | Kids Vocabulary | Tiny Sparks</t>
        </is>
      </c>
      <c r="J53" s="15" t="inlineStr">
        <is>
          <t>3–5</t>
        </is>
      </c>
      <c r="K53" s="15" t="inlineStr">
        <is>
          <t>Short 9:16</t>
        </is>
      </c>
      <c r="L53" s="15" t="inlineStr">
        <is>
          <t>45–60 s</t>
        </is>
      </c>
      <c r="M53" s="15" t="inlineStr">
        <is>
          <t>Mila + French narrator</t>
        </is>
      </c>
      <c r="N53" s="15" t="inlineStr">
        <is>
          <t>Vocabulary EN→FR: Toys</t>
        </is>
      </c>
      <c r="O53" s="15" t="inlineStr">
        <is>
          <t>Yes</t>
        </is>
      </c>
      <c r="P53" s="15" t="inlineStr">
        <is>
          <t>P1</t>
        </is>
      </c>
      <c r="Q53" s="15" t="inlineStr">
        <is>
          <t>Idea</t>
        </is>
      </c>
      <c r="R53" s="48">
        <f>INDEX('Start Here'!$B$10:$B$16,WEEKDAY(C53,2))</f>
        <v/>
      </c>
      <c r="S53" s="48">
        <f>MOD(R53+'Start Here'!$B$6/24,1)</f>
        <v/>
      </c>
      <c r="T53" s="15" t="n"/>
      <c r="U53" s="15" t="n"/>
      <c r="V53" s="15" t="n"/>
      <c r="W53" s="15" t="n"/>
      <c r="X53" s="20" t="n"/>
      <c r="Y53" s="15" t="n"/>
    </row>
    <row r="54">
      <c r="A54" s="15" t="n">
        <v>53</v>
      </c>
      <c r="B54" s="16">
        <f>INT((A54-1)/7)+1</f>
        <v/>
      </c>
      <c r="C54" s="47">
        <f>'Start Here'!$B$5+A54-1</f>
        <v/>
      </c>
      <c r="D54" s="16">
        <f>TEXT(C54,"ddd")</f>
        <v/>
      </c>
      <c r="E54" s="15" t="inlineStr">
        <is>
          <t>Animal Thursday</t>
        </is>
      </c>
      <c r="F54" s="23" t="inlineStr">
        <is>
          <t>🦁 Animal Stories</t>
        </is>
      </c>
      <c r="G54" s="15" t="n">
        <v>8</v>
      </c>
      <c r="H54" s="15" t="inlineStr">
        <is>
          <t>Max the Dog Saves the Day</t>
        </is>
      </c>
      <c r="I54" s="15" t="inlineStr">
        <is>
          <t>Max the Dog Saves the Day 🦁 | Animal Stories for Kids | Tiny Sparks</t>
        </is>
      </c>
      <c r="J54" s="15" t="inlineStr">
        <is>
          <t>3–5</t>
        </is>
      </c>
      <c r="K54" s="15" t="inlineStr">
        <is>
          <t>Long 16:9 + Short teaser</t>
        </is>
      </c>
      <c r="L54" s="15" t="inlineStr">
        <is>
          <t>3–5 min (Short: 50 s)</t>
        </is>
      </c>
      <c r="M54" s="15" t="inlineStr">
        <is>
          <t>guest animal(s) + Bobo</t>
        </is>
      </c>
      <c r="N54" s="15" t="inlineStr">
        <is>
          <t>Story + 3 true animal facts; value: friendship</t>
        </is>
      </c>
      <c r="O54" s="15" t="inlineStr">
        <is>
          <t>Build first: dog</t>
        </is>
      </c>
      <c r="P54" s="15" t="inlineStr">
        <is>
          <t>P1</t>
        </is>
      </c>
      <c r="Q54" s="15" t="inlineStr">
        <is>
          <t>Idea</t>
        </is>
      </c>
      <c r="R54" s="48">
        <f>INDEX('Start Here'!$B$10:$B$16,WEEKDAY(C54,2))</f>
        <v/>
      </c>
      <c r="S54" s="48">
        <f>MOD(R54+'Start Here'!$B$6/24,1)</f>
        <v/>
      </c>
      <c r="T54" s="15" t="n"/>
      <c r="U54" s="15" t="n"/>
      <c r="V54" s="15" t="n"/>
      <c r="W54" s="15" t="n"/>
      <c r="X54" s="20" t="n"/>
      <c r="Y54" s="15" t="n"/>
    </row>
    <row r="55">
      <c r="A55" s="15" t="n">
        <v>54</v>
      </c>
      <c r="B55" s="16">
        <f>INT((A55-1)/7)+1</f>
        <v/>
      </c>
      <c r="C55" s="47">
        <f>'Start Here'!$B$5+A55-1</f>
        <v/>
      </c>
      <c r="D55" s="16">
        <f>TEXT(C55,"ddd")</f>
        <v/>
      </c>
      <c r="E55" s="15" t="inlineStr">
        <is>
          <t>Science Friday</t>
        </is>
      </c>
      <c r="F55" s="24" t="inlineStr">
        <is>
          <t>🚀 Science for Kids</t>
        </is>
      </c>
      <c r="G55" s="15" t="n">
        <v>8</v>
      </c>
      <c r="H55" s="15" t="inlineStr">
        <is>
          <t>How Does Snow Form?</t>
        </is>
      </c>
      <c r="I55" s="15" t="inlineStr">
        <is>
          <t>How Does Snow Form? 🚀 | Science for Kids | Tiny Sparks</t>
        </is>
      </c>
      <c r="J55" s="15" t="inlineStr">
        <is>
          <t>3–5</t>
        </is>
      </c>
      <c r="K55" s="15" t="inlineStr">
        <is>
          <t>Short 9:16</t>
        </is>
      </c>
      <c r="L55" s="15" t="inlineStr">
        <is>
          <t>45–60 s</t>
        </is>
      </c>
      <c r="M55" s="15" t="inlineStr">
        <is>
          <t>Prof. Hoot + Leo (wrong guess) + Mila</t>
        </is>
      </c>
      <c r="N55" s="15" t="inlineStr">
        <is>
          <t>Answer simply: How Does Snow Form?</t>
        </is>
      </c>
      <c r="O55" s="15" t="inlineStr">
        <is>
          <t>Yes</t>
        </is>
      </c>
      <c r="P55" s="15" t="inlineStr">
        <is>
          <t>P1</t>
        </is>
      </c>
      <c r="Q55" s="15" t="inlineStr">
        <is>
          <t>Idea</t>
        </is>
      </c>
      <c r="R55" s="48">
        <f>INDEX('Start Here'!$B$10:$B$16,WEEKDAY(C55,2))</f>
        <v/>
      </c>
      <c r="S55" s="48">
        <f>MOD(R55+'Start Here'!$B$6/24,1)</f>
        <v/>
      </c>
      <c r="T55" s="15" t="n"/>
      <c r="U55" s="15" t="n"/>
      <c r="V55" s="15" t="n"/>
      <c r="W55" s="15" t="n"/>
      <c r="X55" s="20" t="n"/>
      <c r="Y55" s="15" t="n"/>
    </row>
    <row r="56">
      <c r="A56" s="15" t="n">
        <v>55</v>
      </c>
      <c r="B56" s="16">
        <f>INT((A56-1)/7)+1</f>
        <v/>
      </c>
      <c r="C56" s="47">
        <f>'Start Here'!$B$5+A56-1</f>
        <v/>
      </c>
      <c r="D56" s="16">
        <f>TEXT(C56,"ddd")</f>
        <v/>
      </c>
      <c r="E56" s="15" t="inlineStr">
        <is>
          <t>Puzzle Saturday</t>
        </is>
      </c>
      <c r="F56" s="25" t="inlineStr">
        <is>
          <t>🧩 Puzzles &amp; Problem-Solving</t>
        </is>
      </c>
      <c r="G56" s="15" t="n">
        <v>8</v>
      </c>
      <c r="H56" s="15" t="inlineStr">
        <is>
          <t>Find the Different Number</t>
        </is>
      </c>
      <c r="I56" s="15" t="inlineStr">
        <is>
          <t>Find the Different Number 🧩 | Brain Games for Kids | Tiny Sparks</t>
        </is>
      </c>
      <c r="J56" s="15" t="inlineStr">
        <is>
          <t>3–5</t>
        </is>
      </c>
      <c r="K56" s="15" t="inlineStr">
        <is>
          <t>Short 9:16</t>
        </is>
      </c>
      <c r="L56" s="15" t="inlineStr">
        <is>
          <t>45–60 s</t>
        </is>
      </c>
      <c r="M56" s="15" t="inlineStr">
        <is>
          <t>Prof. Hoot + Leo + score strip</t>
        </is>
      </c>
      <c r="N56" s="15" t="inlineStr">
        <is>
          <t>Thinking skill: observation</t>
        </is>
      </c>
      <c r="O56" s="15" t="inlineStr">
        <is>
          <t>Yes</t>
        </is>
      </c>
      <c r="P56" s="15" t="inlineStr">
        <is>
          <t>P1</t>
        </is>
      </c>
      <c r="Q56" s="15" t="inlineStr">
        <is>
          <t>Idea</t>
        </is>
      </c>
      <c r="R56" s="48">
        <f>INDEX('Start Here'!$B$10:$B$16,WEEKDAY(C56,2))</f>
        <v/>
      </c>
      <c r="S56" s="48">
        <f>MOD(R56+'Start Here'!$B$6/24,1)</f>
        <v/>
      </c>
      <c r="T56" s="15" t="n"/>
      <c r="U56" s="15" t="n"/>
      <c r="V56" s="15" t="n"/>
      <c r="W56" s="15" t="n"/>
      <c r="X56" s="20" t="n"/>
      <c r="Y56" s="15" t="n"/>
    </row>
    <row r="57">
      <c r="A57" s="15" t="n">
        <v>56</v>
      </c>
      <c r="B57" s="16">
        <f>INT((A57-1)/7)+1</f>
        <v/>
      </c>
      <c r="C57" s="47">
        <f>'Start Here'!$B$5+A57-1</f>
        <v/>
      </c>
      <c r="D57" s="16">
        <f>TEXT(C57,"ddd")</f>
        <v/>
      </c>
      <c r="E57" s="15" t="inlineStr">
        <is>
          <t>Song Sunday</t>
        </is>
      </c>
      <c r="F57" s="26" t="inlineStr">
        <is>
          <t>🎵 Educational Songs</t>
        </is>
      </c>
      <c r="G57" s="15" t="n">
        <v>8</v>
      </c>
      <c r="H57" s="15" t="inlineStr">
        <is>
          <t>Four Seasons Song</t>
        </is>
      </c>
      <c r="I57" s="15" t="inlineStr">
        <is>
          <t>Four Seasons Song 🎵 | Kids Songs | Tiny Sparks</t>
        </is>
      </c>
      <c r="J57" s="15" t="inlineStr">
        <is>
          <t>3–5</t>
        </is>
      </c>
      <c r="K57" s="15" t="inlineStr">
        <is>
          <t>Long 16:9 + Short cut</t>
        </is>
      </c>
      <c r="L57" s="15" t="inlineStr">
        <is>
          <t>2–3 min (Short: 45 s chorus)</t>
        </is>
      </c>
      <c r="M57" s="15" t="inlineStr">
        <is>
          <t>Mila sings, all dance</t>
        </is>
      </c>
      <c r="N57" s="15" t="inlineStr">
        <is>
          <t>Sing &amp; learn: Four Seasons</t>
        </is>
      </c>
      <c r="O57" s="15" t="inlineStr">
        <is>
          <t>Yes</t>
        </is>
      </c>
      <c r="P57" s="15" t="inlineStr">
        <is>
          <t>P1</t>
        </is>
      </c>
      <c r="Q57" s="15" t="inlineStr">
        <is>
          <t>Idea</t>
        </is>
      </c>
      <c r="R57" s="48">
        <f>INDEX('Start Here'!$B$10:$B$16,WEEKDAY(C57,2))</f>
        <v/>
      </c>
      <c r="S57" s="48">
        <f>MOD(R57+'Start Here'!$B$6/24,1)</f>
        <v/>
      </c>
      <c r="T57" s="15" t="n"/>
      <c r="U57" s="15" t="n"/>
      <c r="V57" s="15" t="n"/>
      <c r="W57" s="15" t="n"/>
      <c r="X57" s="20" t="n"/>
      <c r="Y57" s="15" t="n"/>
    </row>
    <row r="58">
      <c r="A58" s="15" t="n">
        <v>57</v>
      </c>
      <c r="B58" s="16">
        <f>INT((A58-1)/7)+1</f>
        <v/>
      </c>
      <c r="C58" s="47">
        <f>'Start Here'!$B$5+A58-1</f>
        <v/>
      </c>
      <c r="D58" s="16">
        <f>TEXT(C58,"ddd")</f>
        <v/>
      </c>
      <c r="E58" s="15" t="inlineStr">
        <is>
          <t>Story Monday</t>
        </is>
      </c>
      <c r="F58" s="18" t="inlineStr">
        <is>
          <t>🧠 Educational Stories</t>
        </is>
      </c>
      <c r="G58" s="15" t="n">
        <v>5</v>
      </c>
      <c r="H58" s="15" t="inlineStr">
        <is>
          <t>Max Learns Why We Must Listen</t>
        </is>
      </c>
      <c r="I58" s="15" t="inlineStr">
        <is>
          <t>Leo Learns Why We Must Listen 🧠 | Kids Stories | Tiny Sparks</t>
        </is>
      </c>
      <c r="J58" s="15" t="inlineStr">
        <is>
          <t>3–5</t>
        </is>
      </c>
      <c r="K58" s="15" t="inlineStr">
        <is>
          <t>Long 16:9 + Short teaser</t>
        </is>
      </c>
      <c r="L58" s="15" t="inlineStr">
        <is>
          <t>3–5 min (Short: 50 s)</t>
        </is>
      </c>
      <c r="M58" s="15" t="inlineStr">
        <is>
          <t>Leo (lead) · Mila, Leo, Bobo + narrator</t>
        </is>
      </c>
      <c r="N58" s="15" t="inlineStr">
        <is>
          <t>Life skill: We Must Listen</t>
        </is>
      </c>
      <c r="O58" s="15" t="inlineStr">
        <is>
          <t>Yes</t>
        </is>
      </c>
      <c r="P58" s="15" t="inlineStr">
        <is>
          <t>P1</t>
        </is>
      </c>
      <c r="Q58" s="15" t="inlineStr">
        <is>
          <t>Idea</t>
        </is>
      </c>
      <c r="R58" s="48">
        <f>INDEX('Start Here'!$B$10:$B$16,WEEKDAY(C58,2))</f>
        <v/>
      </c>
      <c r="S58" s="48">
        <f>MOD(R58+'Start Here'!$B$6/24,1)</f>
        <v/>
      </c>
      <c r="T58" s="15" t="n"/>
      <c r="U58" s="15" t="n"/>
      <c r="V58" s="15" t="n"/>
      <c r="W58" s="15" t="n"/>
      <c r="X58" s="20" t="n"/>
      <c r="Y58" s="15" t="n"/>
    </row>
    <row r="59">
      <c r="A59" s="15" t="n">
        <v>58</v>
      </c>
      <c r="B59" s="16">
        <f>INT((A59-1)/7)+1</f>
        <v/>
      </c>
      <c r="C59" s="47">
        <f>'Start Here'!$B$5+A59-1</f>
        <v/>
      </c>
      <c r="D59" s="16">
        <f>TEXT(C59,"ddd")</f>
        <v/>
      </c>
      <c r="E59" s="15" t="inlineStr">
        <is>
          <t>Math Tuesday</t>
        </is>
      </c>
      <c r="F59" s="21" t="inlineStr">
        <is>
          <t>🔢 Numbers &amp; Math</t>
        </is>
      </c>
      <c r="G59" s="15" t="n">
        <v>9</v>
      </c>
      <c r="H59" s="15" t="inlineStr">
        <is>
          <t>Counting Cars</t>
        </is>
      </c>
      <c r="I59" s="15" t="inlineStr">
        <is>
          <t>Counting Cars 🔢 | Learn Math for Kids | Tiny Sparks</t>
        </is>
      </c>
      <c r="J59" s="15" t="inlineStr">
        <is>
          <t>3–5</t>
        </is>
      </c>
      <c r="K59" s="15" t="inlineStr">
        <is>
          <t>Short 9:16</t>
        </is>
      </c>
      <c r="L59" s="15" t="inlineStr">
        <is>
          <t>45–60 s</t>
        </is>
      </c>
      <c r="M59" s="15" t="inlineStr">
        <is>
          <t>Bobo + Mila (counting fingers)</t>
        </is>
      </c>
      <c r="N59" s="15" t="inlineStr">
        <is>
          <t>Math: Counting Cars</t>
        </is>
      </c>
      <c r="O59" s="15" t="inlineStr">
        <is>
          <t>Yes</t>
        </is>
      </c>
      <c r="P59" s="15" t="inlineStr">
        <is>
          <t>P1</t>
        </is>
      </c>
      <c r="Q59" s="15" t="inlineStr">
        <is>
          <t>Idea</t>
        </is>
      </c>
      <c r="R59" s="48">
        <f>INDEX('Start Here'!$B$10:$B$16,WEEKDAY(C59,2))</f>
        <v/>
      </c>
      <c r="S59" s="48">
        <f>MOD(R59+'Start Here'!$B$6/24,1)</f>
        <v/>
      </c>
      <c r="T59" s="15" t="n"/>
      <c r="U59" s="15" t="n"/>
      <c r="V59" s="15" t="n"/>
      <c r="W59" s="15" t="n"/>
      <c r="X59" s="20" t="n"/>
      <c r="Y59" s="15" t="n"/>
    </row>
    <row r="60">
      <c r="A60" s="15" t="n">
        <v>59</v>
      </c>
      <c r="B60" s="16">
        <f>INT((A60-1)/7)+1</f>
        <v/>
      </c>
      <c r="C60" s="47">
        <f>'Start Here'!$B$5+A60-1</f>
        <v/>
      </c>
      <c r="D60" s="16">
        <f>TEXT(C60,"ddd")</f>
        <v/>
      </c>
      <c r="E60" s="15" t="inlineStr">
        <is>
          <t>Word Wednesday</t>
        </is>
      </c>
      <c r="F60" s="22" t="inlineStr">
        <is>
          <t>🔤 English/French Words</t>
        </is>
      </c>
      <c r="G60" s="15" t="n">
        <v>9</v>
      </c>
      <c r="H60" s="15" t="inlineStr">
        <is>
          <t>Clothes English/French</t>
        </is>
      </c>
      <c r="I60" s="15" t="inlineStr">
        <is>
          <t>Clothes English/French 🔤 | Kids Vocabulary | Tiny Sparks</t>
        </is>
      </c>
      <c r="J60" s="15" t="inlineStr">
        <is>
          <t>3–5</t>
        </is>
      </c>
      <c r="K60" s="15" t="inlineStr">
        <is>
          <t>Short 9:16</t>
        </is>
      </c>
      <c r="L60" s="15" t="inlineStr">
        <is>
          <t>45–60 s</t>
        </is>
      </c>
      <c r="M60" s="15" t="inlineStr">
        <is>
          <t>Mila + French narrator</t>
        </is>
      </c>
      <c r="N60" s="15" t="inlineStr">
        <is>
          <t>Vocabulary EN→FR: Clothes</t>
        </is>
      </c>
      <c r="O60" s="15" t="inlineStr">
        <is>
          <t>Yes</t>
        </is>
      </c>
      <c r="P60" s="15" t="inlineStr">
        <is>
          <t>P1</t>
        </is>
      </c>
      <c r="Q60" s="15" t="inlineStr">
        <is>
          <t>Idea</t>
        </is>
      </c>
      <c r="R60" s="48">
        <f>INDEX('Start Here'!$B$10:$B$16,WEEKDAY(C60,2))</f>
        <v/>
      </c>
      <c r="S60" s="48">
        <f>MOD(R60+'Start Here'!$B$6/24,1)</f>
        <v/>
      </c>
      <c r="T60" s="15" t="n"/>
      <c r="U60" s="15" t="n"/>
      <c r="V60" s="15" t="n"/>
      <c r="W60" s="15" t="n"/>
      <c r="X60" s="20" t="n"/>
      <c r="Y60" s="15" t="n"/>
    </row>
    <row r="61">
      <c r="A61" s="15" t="n">
        <v>60</v>
      </c>
      <c r="B61" s="16">
        <f>INT((A61-1)/7)+1</f>
        <v/>
      </c>
      <c r="C61" s="47">
        <f>'Start Here'!$B$5+A61-1</f>
        <v/>
      </c>
      <c r="D61" s="16">
        <f>TEXT(C61,"ddd")</f>
        <v/>
      </c>
      <c r="E61" s="15" t="inlineStr">
        <is>
          <t>Animal Thursday</t>
        </is>
      </c>
      <c r="F61" s="23" t="inlineStr">
        <is>
          <t>🦁 Animal Stories</t>
        </is>
      </c>
      <c r="G61" s="15" t="n">
        <v>9</v>
      </c>
      <c r="H61" s="15" t="inlineStr">
        <is>
          <t>Luna the Cat and the Missing Ball</t>
        </is>
      </c>
      <c r="I61" s="15" t="inlineStr">
        <is>
          <t>Luna the Cat and the Missing Ball 🦁 | Animal Stories for Kids | Tiny Sparks</t>
        </is>
      </c>
      <c r="J61" s="15" t="inlineStr">
        <is>
          <t>3–5</t>
        </is>
      </c>
      <c r="K61" s="15" t="inlineStr">
        <is>
          <t>Long 16:9 + Short teaser</t>
        </is>
      </c>
      <c r="L61" s="15" t="inlineStr">
        <is>
          <t>3–5 min (Short: 50 s)</t>
        </is>
      </c>
      <c r="M61" s="15" t="inlineStr">
        <is>
          <t>guest animal(s) + Bobo</t>
        </is>
      </c>
      <c r="N61" s="15" t="inlineStr">
        <is>
          <t>Story + 3 true animal facts; value: friendship</t>
        </is>
      </c>
      <c r="O61" s="15" t="inlineStr">
        <is>
          <t>Yes</t>
        </is>
      </c>
      <c r="P61" s="15" t="inlineStr">
        <is>
          <t>P1</t>
        </is>
      </c>
      <c r="Q61" s="15" t="inlineStr">
        <is>
          <t>Idea</t>
        </is>
      </c>
      <c r="R61" s="48">
        <f>INDEX('Start Here'!$B$10:$B$16,WEEKDAY(C61,2))</f>
        <v/>
      </c>
      <c r="S61" s="48">
        <f>MOD(R61+'Start Here'!$B$6/24,1)</f>
        <v/>
      </c>
      <c r="T61" s="15" t="n"/>
      <c r="U61" s="15" t="n"/>
      <c r="V61" s="15" t="n"/>
      <c r="W61" s="15" t="n"/>
      <c r="X61" s="20" t="n"/>
      <c r="Y61" s="15" t="n"/>
    </row>
    <row r="62">
      <c r="A62" s="15" t="n">
        <v>61</v>
      </c>
      <c r="B62" s="16">
        <f>INT((A62-1)/7)+1</f>
        <v/>
      </c>
      <c r="C62" s="47">
        <f>'Start Here'!$B$5+A62-1</f>
        <v/>
      </c>
      <c r="D62" s="16">
        <f>TEXT(C62,"ddd")</f>
        <v/>
      </c>
      <c r="E62" s="15" t="inlineStr">
        <is>
          <t>Science Friday</t>
        </is>
      </c>
      <c r="F62" s="24" t="inlineStr">
        <is>
          <t>🚀 Science for Kids</t>
        </is>
      </c>
      <c r="G62" s="15" t="n">
        <v>9</v>
      </c>
      <c r="H62" s="15" t="inlineStr">
        <is>
          <t>How Do Rainbows Appear?</t>
        </is>
      </c>
      <c r="I62" s="15" t="inlineStr">
        <is>
          <t>How Do Rainbows Appear? 🚀 | Science for Kids | Tiny Sparks</t>
        </is>
      </c>
      <c r="J62" s="15" t="inlineStr">
        <is>
          <t>3–5</t>
        </is>
      </c>
      <c r="K62" s="15" t="inlineStr">
        <is>
          <t>Short 9:16</t>
        </is>
      </c>
      <c r="L62" s="15" t="inlineStr">
        <is>
          <t>45–60 s</t>
        </is>
      </c>
      <c r="M62" s="15" t="inlineStr">
        <is>
          <t>Prof. Hoot + Leo (wrong guess) + Mila</t>
        </is>
      </c>
      <c r="N62" s="15" t="inlineStr">
        <is>
          <t>Answer simply: How Do Rainbows Appear?</t>
        </is>
      </c>
      <c r="O62" s="15" t="inlineStr">
        <is>
          <t>Yes</t>
        </is>
      </c>
      <c r="P62" s="15" t="inlineStr">
        <is>
          <t>P1</t>
        </is>
      </c>
      <c r="Q62" s="15" t="inlineStr">
        <is>
          <t>Idea</t>
        </is>
      </c>
      <c r="R62" s="48">
        <f>INDEX('Start Here'!$B$10:$B$16,WEEKDAY(C62,2))</f>
        <v/>
      </c>
      <c r="S62" s="48">
        <f>MOD(R62+'Start Here'!$B$6/24,1)</f>
        <v/>
      </c>
      <c r="T62" s="15" t="n"/>
      <c r="U62" s="15" t="n"/>
      <c r="V62" s="15" t="n"/>
      <c r="W62" s="15" t="n"/>
      <c r="X62" s="20" t="n"/>
      <c r="Y62" s="15" t="n"/>
    </row>
    <row r="63">
      <c r="A63" s="15" t="n">
        <v>62</v>
      </c>
      <c r="B63" s="16">
        <f>INT((A63-1)/7)+1</f>
        <v/>
      </c>
      <c r="C63" s="47">
        <f>'Start Here'!$B$5+A63-1</f>
        <v/>
      </c>
      <c r="D63" s="16">
        <f>TEXT(C63,"ddd")</f>
        <v/>
      </c>
      <c r="E63" s="15" t="inlineStr">
        <is>
          <t>Puzzle Saturday</t>
        </is>
      </c>
      <c r="F63" s="25" t="inlineStr">
        <is>
          <t>🧩 Puzzles &amp; Problem-Solving</t>
        </is>
      </c>
      <c r="G63" s="15" t="n">
        <v>9</v>
      </c>
      <c r="H63" s="15" t="inlineStr">
        <is>
          <t>Find the Hidden Star</t>
        </is>
      </c>
      <c r="I63" s="15" t="inlineStr">
        <is>
          <t>Find the Hidden Star 🧩 | Brain Games for Kids | Tiny Sparks</t>
        </is>
      </c>
      <c r="J63" s="15" t="inlineStr">
        <is>
          <t>3–5</t>
        </is>
      </c>
      <c r="K63" s="15" t="inlineStr">
        <is>
          <t>Short 9:16</t>
        </is>
      </c>
      <c r="L63" s="15" t="inlineStr">
        <is>
          <t>45–60 s</t>
        </is>
      </c>
      <c r="M63" s="15" t="inlineStr">
        <is>
          <t>Prof. Hoot + Leo + score strip</t>
        </is>
      </c>
      <c r="N63" s="15" t="inlineStr">
        <is>
          <t>Thinking skill: observation</t>
        </is>
      </c>
      <c r="O63" s="15" t="inlineStr">
        <is>
          <t>Yes</t>
        </is>
      </c>
      <c r="P63" s="15" t="inlineStr">
        <is>
          <t>P1</t>
        </is>
      </c>
      <c r="Q63" s="15" t="inlineStr">
        <is>
          <t>Idea</t>
        </is>
      </c>
      <c r="R63" s="48">
        <f>INDEX('Start Here'!$B$10:$B$16,WEEKDAY(C63,2))</f>
        <v/>
      </c>
      <c r="S63" s="48">
        <f>MOD(R63+'Start Here'!$B$6/24,1)</f>
        <v/>
      </c>
      <c r="T63" s="15" t="n"/>
      <c r="U63" s="15" t="n"/>
      <c r="V63" s="15" t="n"/>
      <c r="W63" s="15" t="n"/>
      <c r="X63" s="20" t="n"/>
      <c r="Y63" s="15" t="n"/>
    </row>
    <row r="64">
      <c r="A64" s="15" t="n">
        <v>63</v>
      </c>
      <c r="B64" s="16">
        <f>INT((A64-1)/7)+1</f>
        <v/>
      </c>
      <c r="C64" s="47">
        <f>'Start Here'!$B$5+A64-1</f>
        <v/>
      </c>
      <c r="D64" s="16">
        <f>TEXT(C64,"ddd")</f>
        <v/>
      </c>
      <c r="E64" s="15" t="inlineStr">
        <is>
          <t>Song Sunday</t>
        </is>
      </c>
      <c r="F64" s="26" t="inlineStr">
        <is>
          <t>🎵 Educational Songs</t>
        </is>
      </c>
      <c r="G64" s="15" t="n">
        <v>9</v>
      </c>
      <c r="H64" s="15" t="inlineStr">
        <is>
          <t>Numbers 1–100 Song</t>
        </is>
      </c>
      <c r="I64" s="15" t="inlineStr">
        <is>
          <t>Numbers 1–100 Song 🎵 | Kids Songs | Tiny Sparks</t>
        </is>
      </c>
      <c r="J64" s="15" t="inlineStr">
        <is>
          <t>6–8</t>
        </is>
      </c>
      <c r="K64" s="15" t="inlineStr">
        <is>
          <t>Long 16:9 + Short cut</t>
        </is>
      </c>
      <c r="L64" s="15" t="inlineStr">
        <is>
          <t>2–3 min (Short: 45 s chorus)</t>
        </is>
      </c>
      <c r="M64" s="15" t="inlineStr">
        <is>
          <t>Mila sings, all dance</t>
        </is>
      </c>
      <c r="N64" s="15" t="inlineStr">
        <is>
          <t>Sing &amp; learn: Numbers 1–100</t>
        </is>
      </c>
      <c r="O64" s="15" t="inlineStr">
        <is>
          <t>Yes</t>
        </is>
      </c>
      <c r="P64" s="15" t="inlineStr">
        <is>
          <t>P1</t>
        </is>
      </c>
      <c r="Q64" s="15" t="inlineStr">
        <is>
          <t>Idea</t>
        </is>
      </c>
      <c r="R64" s="48">
        <f>INDEX('Start Here'!$B$10:$B$16,WEEKDAY(C64,2))</f>
        <v/>
      </c>
      <c r="S64" s="48">
        <f>MOD(R64+'Start Here'!$B$6/24,1)</f>
        <v/>
      </c>
      <c r="T64" s="15" t="n"/>
      <c r="U64" s="15" t="n"/>
      <c r="V64" s="15" t="n"/>
      <c r="W64" s="15" t="n"/>
      <c r="X64" s="20" t="n"/>
      <c r="Y64" s="15" t="n"/>
    </row>
    <row r="65">
      <c r="A65" s="15" t="n">
        <v>64</v>
      </c>
      <c r="B65" s="16">
        <f>INT((A65-1)/7)+1</f>
        <v/>
      </c>
      <c r="C65" s="47">
        <f>'Start Here'!$B$5+A65-1</f>
        <v/>
      </c>
      <c r="D65" s="16">
        <f>TEXT(C65,"ddd")</f>
        <v/>
      </c>
      <c r="E65" s="15" t="inlineStr">
        <is>
          <t>Story Monday</t>
        </is>
      </c>
      <c r="F65" s="27" t="inlineStr">
        <is>
          <t>📚 Moral Stories</t>
        </is>
      </c>
      <c r="G65" s="15" t="n">
        <v>5</v>
      </c>
      <c r="H65" s="15" t="inlineStr">
        <is>
          <t>The Lion Who Learned Humility</t>
        </is>
      </c>
      <c r="I65" s="15" t="inlineStr">
        <is>
          <t>The Lion Who Learned Humility 📚 | Moral Stories for Kids | Tiny Sparks</t>
        </is>
      </c>
      <c r="J65" s="15" t="inlineStr">
        <is>
          <t>3–5</t>
        </is>
      </c>
      <c r="K65" s="15" t="inlineStr">
        <is>
          <t>Long 16:9 + Short teaser</t>
        </is>
      </c>
      <c r="L65" s="15" t="inlineStr">
        <is>
          <t>3–5 min (Short: 50 s)</t>
        </is>
      </c>
      <c r="M65" s="15" t="inlineStr">
        <is>
          <t>narrator + guest animals / Mila &amp; Leo</t>
        </is>
      </c>
      <c r="N65" s="15" t="inlineStr">
        <is>
          <t>Value: humility</t>
        </is>
      </c>
      <c r="O65" s="15" t="inlineStr">
        <is>
          <t>Yes</t>
        </is>
      </c>
      <c r="P65" s="15" t="inlineStr">
        <is>
          <t>P1</t>
        </is>
      </c>
      <c r="Q65" s="15" t="inlineStr">
        <is>
          <t>Idea</t>
        </is>
      </c>
      <c r="R65" s="48">
        <f>INDEX('Start Here'!$B$10:$B$16,WEEKDAY(C65,2))</f>
        <v/>
      </c>
      <c r="S65" s="48">
        <f>MOD(R65+'Start Here'!$B$6/24,1)</f>
        <v/>
      </c>
      <c r="T65" s="15" t="n"/>
      <c r="U65" s="15" t="n"/>
      <c r="V65" s="15" t="n"/>
      <c r="W65" s="15" t="n"/>
      <c r="X65" s="20" t="n"/>
      <c r="Y65" s="15" t="n"/>
    </row>
    <row r="66">
      <c r="A66" s="15" t="n">
        <v>65</v>
      </c>
      <c r="B66" s="16">
        <f>INT((A66-1)/7)+1</f>
        <v/>
      </c>
      <c r="C66" s="47">
        <f>'Start Here'!$B$5+A66-1</f>
        <v/>
      </c>
      <c r="D66" s="16">
        <f>TEXT(C66,"ddd")</f>
        <v/>
      </c>
      <c r="E66" s="15" t="inlineStr">
        <is>
          <t>Math Tuesday</t>
        </is>
      </c>
      <c r="F66" s="21" t="inlineStr">
        <is>
          <t>🔢 Numbers &amp; Math</t>
        </is>
      </c>
      <c r="G66" s="15" t="n">
        <v>10</v>
      </c>
      <c r="H66" s="15" t="inlineStr">
        <is>
          <t>Count the Stars</t>
        </is>
      </c>
      <c r="I66" s="15" t="inlineStr">
        <is>
          <t>Count the Stars 🔢 | Learn Math for Kids | Tiny Sparks</t>
        </is>
      </c>
      <c r="J66" s="15" t="inlineStr">
        <is>
          <t>3–5</t>
        </is>
      </c>
      <c r="K66" s="15" t="inlineStr">
        <is>
          <t>Short 9:16</t>
        </is>
      </c>
      <c r="L66" s="15" t="inlineStr">
        <is>
          <t>45–60 s</t>
        </is>
      </c>
      <c r="M66" s="15" t="inlineStr">
        <is>
          <t>Bobo + Mila (counting fingers)</t>
        </is>
      </c>
      <c r="N66" s="15" t="inlineStr">
        <is>
          <t>Math: Count the Stars</t>
        </is>
      </c>
      <c r="O66" s="15" t="inlineStr">
        <is>
          <t>Yes</t>
        </is>
      </c>
      <c r="P66" s="15" t="inlineStr">
        <is>
          <t>P1</t>
        </is>
      </c>
      <c r="Q66" s="15" t="inlineStr">
        <is>
          <t>Idea</t>
        </is>
      </c>
      <c r="R66" s="48">
        <f>INDEX('Start Here'!$B$10:$B$16,WEEKDAY(C66,2))</f>
        <v/>
      </c>
      <c r="S66" s="48">
        <f>MOD(R66+'Start Here'!$B$6/24,1)</f>
        <v/>
      </c>
      <c r="T66" s="15" t="n"/>
      <c r="U66" s="15" t="n"/>
      <c r="V66" s="15" t="n"/>
      <c r="W66" s="15" t="n"/>
      <c r="X66" s="20" t="n"/>
      <c r="Y66" s="15" t="n"/>
    </row>
    <row r="67">
      <c r="A67" s="15" t="n">
        <v>66</v>
      </c>
      <c r="B67" s="16">
        <f>INT((A67-1)/7)+1</f>
        <v/>
      </c>
      <c r="C67" s="47">
        <f>'Start Here'!$B$5+A67-1</f>
        <v/>
      </c>
      <c r="D67" s="16">
        <f>TEXT(C67,"ddd")</f>
        <v/>
      </c>
      <c r="E67" s="15" t="inlineStr">
        <is>
          <t>Word Wednesday</t>
        </is>
      </c>
      <c r="F67" s="22" t="inlineStr">
        <is>
          <t>🔤 English/French Words</t>
        </is>
      </c>
      <c r="G67" s="15" t="n">
        <v>10</v>
      </c>
      <c r="H67" s="15" t="inlineStr">
        <is>
          <t>Body Parts English/French</t>
        </is>
      </c>
      <c r="I67" s="15" t="inlineStr">
        <is>
          <t>Body Parts English/French 🔤 | Kids Vocabulary | Tiny Sparks</t>
        </is>
      </c>
      <c r="J67" s="15" t="inlineStr">
        <is>
          <t>3–5</t>
        </is>
      </c>
      <c r="K67" s="15" t="inlineStr">
        <is>
          <t>Short 9:16</t>
        </is>
      </c>
      <c r="L67" s="15" t="inlineStr">
        <is>
          <t>45–60 s</t>
        </is>
      </c>
      <c r="M67" s="15" t="inlineStr">
        <is>
          <t>Mila + French narrator</t>
        </is>
      </c>
      <c r="N67" s="15" t="inlineStr">
        <is>
          <t>Vocabulary EN→FR: Body Parts</t>
        </is>
      </c>
      <c r="O67" s="15" t="inlineStr">
        <is>
          <t>Yes</t>
        </is>
      </c>
      <c r="P67" s="15" t="inlineStr">
        <is>
          <t>P1</t>
        </is>
      </c>
      <c r="Q67" s="15" t="inlineStr">
        <is>
          <t>Idea</t>
        </is>
      </c>
      <c r="R67" s="48">
        <f>INDEX('Start Here'!$B$10:$B$16,WEEKDAY(C67,2))</f>
        <v/>
      </c>
      <c r="S67" s="48">
        <f>MOD(R67+'Start Here'!$B$6/24,1)</f>
        <v/>
      </c>
      <c r="T67" s="15" t="n"/>
      <c r="U67" s="15" t="n"/>
      <c r="V67" s="15" t="n"/>
      <c r="W67" s="15" t="n"/>
      <c r="X67" s="20" t="n"/>
      <c r="Y67" s="15" t="n"/>
    </row>
    <row r="68">
      <c r="A68" s="15" t="n">
        <v>67</v>
      </c>
      <c r="B68" s="16">
        <f>INT((A68-1)/7)+1</f>
        <v/>
      </c>
      <c r="C68" s="47">
        <f>'Start Here'!$B$5+A68-1</f>
        <v/>
      </c>
      <c r="D68" s="16">
        <f>TEXT(C68,"ddd")</f>
        <v/>
      </c>
      <c r="E68" s="15" t="inlineStr">
        <is>
          <t>Animal Thursday</t>
        </is>
      </c>
      <c r="F68" s="23" t="inlineStr">
        <is>
          <t>🦁 Animal Stories</t>
        </is>
      </c>
      <c r="G68" s="15" t="n">
        <v>10</v>
      </c>
      <c r="H68" s="15" t="inlineStr">
        <is>
          <t>Bella the Butterfly's Journey</t>
        </is>
      </c>
      <c r="I68" s="15" t="inlineStr">
        <is>
          <t>Bella the Butterfly's Journey 🦁 | Animal Stories for Kids | Tiny Sparks</t>
        </is>
      </c>
      <c r="J68" s="15" t="inlineStr">
        <is>
          <t>3–5</t>
        </is>
      </c>
      <c r="K68" s="15" t="inlineStr">
        <is>
          <t>Long 16:9 + Short teaser</t>
        </is>
      </c>
      <c r="L68" s="15" t="inlineStr">
        <is>
          <t>3–5 min (Short: 50 s)</t>
        </is>
      </c>
      <c r="M68" s="15" t="inlineStr">
        <is>
          <t>guest animal(s) + Bobo</t>
        </is>
      </c>
      <c r="N68" s="15" t="inlineStr">
        <is>
          <t>Story + 3 true animal facts; value: friendship</t>
        </is>
      </c>
      <c r="O68" s="15" t="inlineStr">
        <is>
          <t>Build first: butterfly</t>
        </is>
      </c>
      <c r="P68" s="15" t="inlineStr">
        <is>
          <t>P1</t>
        </is>
      </c>
      <c r="Q68" s="15" t="inlineStr">
        <is>
          <t>Idea</t>
        </is>
      </c>
      <c r="R68" s="48">
        <f>INDEX('Start Here'!$B$10:$B$16,WEEKDAY(C68,2))</f>
        <v/>
      </c>
      <c r="S68" s="48">
        <f>MOD(R68+'Start Here'!$B$6/24,1)</f>
        <v/>
      </c>
      <c r="T68" s="15" t="n"/>
      <c r="U68" s="15" t="n"/>
      <c r="V68" s="15" t="n"/>
      <c r="W68" s="15" t="n"/>
      <c r="X68" s="20" t="n"/>
      <c r="Y68" s="15" t="n"/>
    </row>
    <row r="69">
      <c r="A69" s="15" t="n">
        <v>68</v>
      </c>
      <c r="B69" s="16">
        <f>INT((A69-1)/7)+1</f>
        <v/>
      </c>
      <c r="C69" s="47">
        <f>'Start Here'!$B$5+A69-1</f>
        <v/>
      </c>
      <c r="D69" s="16">
        <f>TEXT(C69,"ddd")</f>
        <v/>
      </c>
      <c r="E69" s="15" t="inlineStr">
        <is>
          <t>Science Friday</t>
        </is>
      </c>
      <c r="F69" s="24" t="inlineStr">
        <is>
          <t>🚀 Science for Kids</t>
        </is>
      </c>
      <c r="G69" s="15" t="n">
        <v>10</v>
      </c>
      <c r="H69" s="15" t="inlineStr">
        <is>
          <t>What Is Lightning?</t>
        </is>
      </c>
      <c r="I69" s="15" t="inlineStr">
        <is>
          <t>What Is Lightning? 🚀 | Science for Kids | Tiny Sparks</t>
        </is>
      </c>
      <c r="J69" s="15" t="inlineStr">
        <is>
          <t>3–5</t>
        </is>
      </c>
      <c r="K69" s="15" t="inlineStr">
        <is>
          <t>Short 9:16</t>
        </is>
      </c>
      <c r="L69" s="15" t="inlineStr">
        <is>
          <t>45–60 s</t>
        </is>
      </c>
      <c r="M69" s="15" t="inlineStr">
        <is>
          <t>Prof. Hoot + Leo (wrong guess) + Mila</t>
        </is>
      </c>
      <c r="N69" s="15" t="inlineStr">
        <is>
          <t>Answer simply: What Is Lightning?</t>
        </is>
      </c>
      <c r="O69" s="15" t="inlineStr">
        <is>
          <t>Yes</t>
        </is>
      </c>
      <c r="P69" s="15" t="inlineStr">
        <is>
          <t>P1</t>
        </is>
      </c>
      <c r="Q69" s="15" t="inlineStr">
        <is>
          <t>Idea</t>
        </is>
      </c>
      <c r="R69" s="48">
        <f>INDEX('Start Here'!$B$10:$B$16,WEEKDAY(C69,2))</f>
        <v/>
      </c>
      <c r="S69" s="48">
        <f>MOD(R69+'Start Here'!$B$6/24,1)</f>
        <v/>
      </c>
      <c r="T69" s="15" t="n"/>
      <c r="U69" s="15" t="n"/>
      <c r="V69" s="15" t="n"/>
      <c r="W69" s="15" t="n"/>
      <c r="X69" s="20" t="n"/>
      <c r="Y69" s="15" t="n"/>
    </row>
    <row r="70">
      <c r="A70" s="15" t="n">
        <v>69</v>
      </c>
      <c r="B70" s="16">
        <f>INT((A70-1)/7)+1</f>
        <v/>
      </c>
      <c r="C70" s="47">
        <f>'Start Here'!$B$5+A70-1</f>
        <v/>
      </c>
      <c r="D70" s="16">
        <f>TEXT(C70,"ddd")</f>
        <v/>
      </c>
      <c r="E70" s="15" t="inlineStr">
        <is>
          <t>Puzzle Saturday</t>
        </is>
      </c>
      <c r="F70" s="25" t="inlineStr">
        <is>
          <t>🧩 Puzzles &amp; Problem-Solving</t>
        </is>
      </c>
      <c r="G70" s="15" t="n">
        <v>10</v>
      </c>
      <c r="H70" s="15" t="inlineStr">
        <is>
          <t>Find the Hidden Heart</t>
        </is>
      </c>
      <c r="I70" s="15" t="inlineStr">
        <is>
          <t>Find the Hidden Heart 🧩 | Brain Games for Kids | Tiny Sparks</t>
        </is>
      </c>
      <c r="J70" s="15" t="inlineStr">
        <is>
          <t>6–8</t>
        </is>
      </c>
      <c r="K70" s="15" t="inlineStr">
        <is>
          <t>Short 9:16</t>
        </is>
      </c>
      <c r="L70" s="15" t="inlineStr">
        <is>
          <t>45–60 s</t>
        </is>
      </c>
      <c r="M70" s="15" t="inlineStr">
        <is>
          <t>Prof. Hoot + Leo + score strip</t>
        </is>
      </c>
      <c r="N70" s="15" t="inlineStr">
        <is>
          <t>Thinking skill: observation</t>
        </is>
      </c>
      <c r="O70" s="15" t="inlineStr">
        <is>
          <t>Yes</t>
        </is>
      </c>
      <c r="P70" s="15" t="inlineStr">
        <is>
          <t>P1</t>
        </is>
      </c>
      <c r="Q70" s="15" t="inlineStr">
        <is>
          <t>Idea</t>
        </is>
      </c>
      <c r="R70" s="48">
        <f>INDEX('Start Here'!$B$10:$B$16,WEEKDAY(C70,2))</f>
        <v/>
      </c>
      <c r="S70" s="48">
        <f>MOD(R70+'Start Here'!$B$6/24,1)</f>
        <v/>
      </c>
      <c r="T70" s="15" t="n"/>
      <c r="U70" s="15" t="n"/>
      <c r="V70" s="15" t="n"/>
      <c r="W70" s="15" t="n"/>
      <c r="X70" s="20" t="n"/>
      <c r="Y70" s="15" t="n"/>
    </row>
    <row r="71">
      <c r="A71" s="15" t="n">
        <v>70</v>
      </c>
      <c r="B71" s="16">
        <f>INT((A71-1)/7)+1</f>
        <v/>
      </c>
      <c r="C71" s="47">
        <f>'Start Here'!$B$5+A71-1</f>
        <v/>
      </c>
      <c r="D71" s="16">
        <f>TEXT(C71,"ddd")</f>
        <v/>
      </c>
      <c r="E71" s="15" t="inlineStr">
        <is>
          <t>Song Sunday</t>
        </is>
      </c>
      <c r="F71" s="26" t="inlineStr">
        <is>
          <t>🎵 Educational Songs</t>
        </is>
      </c>
      <c r="G71" s="15" t="n">
        <v>10</v>
      </c>
      <c r="H71" s="15" t="inlineStr">
        <is>
          <t>Counting Backwards Song</t>
        </is>
      </c>
      <c r="I71" s="15" t="inlineStr">
        <is>
          <t>Counting Backwards Song 🎵 | Kids Songs | Tiny Sparks</t>
        </is>
      </c>
      <c r="J71" s="15" t="inlineStr">
        <is>
          <t>3–5</t>
        </is>
      </c>
      <c r="K71" s="15" t="inlineStr">
        <is>
          <t>Long 16:9 + Short cut</t>
        </is>
      </c>
      <c r="L71" s="15" t="inlineStr">
        <is>
          <t>2–3 min (Short: 45 s chorus)</t>
        </is>
      </c>
      <c r="M71" s="15" t="inlineStr">
        <is>
          <t>Mila sings, all dance</t>
        </is>
      </c>
      <c r="N71" s="15" t="inlineStr">
        <is>
          <t>Sing &amp; learn: Counting Backwards</t>
        </is>
      </c>
      <c r="O71" s="15" t="inlineStr">
        <is>
          <t>Yes</t>
        </is>
      </c>
      <c r="P71" s="15" t="inlineStr">
        <is>
          <t>P1</t>
        </is>
      </c>
      <c r="Q71" s="15" t="inlineStr">
        <is>
          <t>Idea</t>
        </is>
      </c>
      <c r="R71" s="48">
        <f>INDEX('Start Here'!$B$10:$B$16,WEEKDAY(C71,2))</f>
        <v/>
      </c>
      <c r="S71" s="48">
        <f>MOD(R71+'Start Here'!$B$6/24,1)</f>
        <v/>
      </c>
      <c r="T71" s="15" t="n"/>
      <c r="U71" s="15" t="n"/>
      <c r="V71" s="15" t="n"/>
      <c r="W71" s="15" t="n"/>
      <c r="X71" s="20" t="n"/>
      <c r="Y71" s="15" t="n"/>
    </row>
    <row r="72">
      <c r="A72" s="15" t="n">
        <v>71</v>
      </c>
      <c r="B72" s="16">
        <f>INT((A72-1)/7)+1</f>
        <v/>
      </c>
      <c r="C72" s="47">
        <f>'Start Here'!$B$5+A72-1</f>
        <v/>
      </c>
      <c r="D72" s="16">
        <f>TEXT(C72,"ddd")</f>
        <v/>
      </c>
      <c r="E72" s="15" t="inlineStr">
        <is>
          <t>Story Monday</t>
        </is>
      </c>
      <c r="F72" s="18" t="inlineStr">
        <is>
          <t>🧠 Educational Stories</t>
        </is>
      </c>
      <c r="G72" s="15" t="n">
        <v>6</v>
      </c>
      <c r="H72" s="15" t="inlineStr">
        <is>
          <t>Lily Learns to Help Her Friends</t>
        </is>
      </c>
      <c r="I72" s="15" t="inlineStr">
        <is>
          <t>Mila Learns to Help Her Friends 🧠 | Kids Stories | Tiny Sparks</t>
        </is>
      </c>
      <c r="J72" s="15" t="inlineStr">
        <is>
          <t>3–5</t>
        </is>
      </c>
      <c r="K72" s="15" t="inlineStr">
        <is>
          <t>Long 16:9 + Short teaser</t>
        </is>
      </c>
      <c r="L72" s="15" t="inlineStr">
        <is>
          <t>3–5 min (Short: 50 s)</t>
        </is>
      </c>
      <c r="M72" s="15" t="inlineStr">
        <is>
          <t>Mila (lead) · Mila, Leo, Bobo + narrator</t>
        </is>
      </c>
      <c r="N72" s="15" t="inlineStr">
        <is>
          <t>Life skill: Help Her Friends</t>
        </is>
      </c>
      <c r="O72" s="15" t="inlineStr">
        <is>
          <t>Yes</t>
        </is>
      </c>
      <c r="P72" s="15" t="inlineStr">
        <is>
          <t>P1</t>
        </is>
      </c>
      <c r="Q72" s="15" t="inlineStr">
        <is>
          <t>Idea</t>
        </is>
      </c>
      <c r="R72" s="48">
        <f>INDEX('Start Here'!$B$10:$B$16,WEEKDAY(C72,2))</f>
        <v/>
      </c>
      <c r="S72" s="48">
        <f>MOD(R72+'Start Here'!$B$6/24,1)</f>
        <v/>
      </c>
      <c r="T72" s="15" t="n"/>
      <c r="U72" s="15" t="n"/>
      <c r="V72" s="15" t="n"/>
      <c r="W72" s="15" t="n"/>
      <c r="X72" s="20" t="n"/>
      <c r="Y72" s="15" t="n"/>
    </row>
    <row r="73">
      <c r="A73" s="15" t="n">
        <v>72</v>
      </c>
      <c r="B73" s="16">
        <f>INT((A73-1)/7)+1</f>
        <v/>
      </c>
      <c r="C73" s="47">
        <f>'Start Here'!$B$5+A73-1</f>
        <v/>
      </c>
      <c r="D73" s="16">
        <f>TEXT(C73,"ddd")</f>
        <v/>
      </c>
      <c r="E73" s="15" t="inlineStr">
        <is>
          <t>Math Tuesday</t>
        </is>
      </c>
      <c r="F73" s="21" t="inlineStr">
        <is>
          <t>🔢 Numbers &amp; Math</t>
        </is>
      </c>
      <c r="G73" s="15" t="n">
        <v>11</v>
      </c>
      <c r="H73" s="15" t="inlineStr">
        <is>
          <t>Learn Number 1</t>
        </is>
      </c>
      <c r="I73" s="15" t="inlineStr">
        <is>
          <t>Learn Number 1 🔢 | Learn Math for Kids | Tiny Sparks</t>
        </is>
      </c>
      <c r="J73" s="15" t="inlineStr">
        <is>
          <t>3–5</t>
        </is>
      </c>
      <c r="K73" s="15" t="inlineStr">
        <is>
          <t>Short 9:16</t>
        </is>
      </c>
      <c r="L73" s="15" t="inlineStr">
        <is>
          <t>45–60 s</t>
        </is>
      </c>
      <c r="M73" s="15" t="inlineStr">
        <is>
          <t>Bobo + Mila (counting fingers)</t>
        </is>
      </c>
      <c r="N73" s="15" t="inlineStr">
        <is>
          <t>Math: Learn Number 1</t>
        </is>
      </c>
      <c r="O73" s="15" t="inlineStr">
        <is>
          <t>Yes</t>
        </is>
      </c>
      <c r="P73" s="15" t="inlineStr">
        <is>
          <t>P1</t>
        </is>
      </c>
      <c r="Q73" s="15" t="inlineStr">
        <is>
          <t>Idea</t>
        </is>
      </c>
      <c r="R73" s="48">
        <f>INDEX('Start Here'!$B$10:$B$16,WEEKDAY(C73,2))</f>
        <v/>
      </c>
      <c r="S73" s="48">
        <f>MOD(R73+'Start Here'!$B$6/24,1)</f>
        <v/>
      </c>
      <c r="T73" s="15" t="n"/>
      <c r="U73" s="15" t="n"/>
      <c r="V73" s="15" t="n"/>
      <c r="W73" s="15" t="n"/>
      <c r="X73" s="20" t="n"/>
      <c r="Y73" s="15" t="n"/>
    </row>
    <row r="74">
      <c r="A74" s="15" t="n">
        <v>73</v>
      </c>
      <c r="B74" s="16">
        <f>INT((A74-1)/7)+1</f>
        <v/>
      </c>
      <c r="C74" s="47">
        <f>'Start Here'!$B$5+A74-1</f>
        <v/>
      </c>
      <c r="D74" s="16">
        <f>TEXT(C74,"ddd")</f>
        <v/>
      </c>
      <c r="E74" s="15" t="inlineStr">
        <is>
          <t>Word Wednesday</t>
        </is>
      </c>
      <c r="F74" s="22" t="inlineStr">
        <is>
          <t>🔤 English/French Words</t>
        </is>
      </c>
      <c r="G74" s="15" t="n">
        <v>11</v>
      </c>
      <c r="H74" s="15" t="inlineStr">
        <is>
          <t>Farm Animals English/French</t>
        </is>
      </c>
      <c r="I74" s="15" t="inlineStr">
        <is>
          <t>Farm Animals English/French 🔤 | Kids Vocabulary | Tiny Sparks</t>
        </is>
      </c>
      <c r="J74" s="15" t="inlineStr">
        <is>
          <t>3–5</t>
        </is>
      </c>
      <c r="K74" s="15" t="inlineStr">
        <is>
          <t>Short 9:16</t>
        </is>
      </c>
      <c r="L74" s="15" t="inlineStr">
        <is>
          <t>45–60 s</t>
        </is>
      </c>
      <c r="M74" s="15" t="inlineStr">
        <is>
          <t>Mila + French narrator</t>
        </is>
      </c>
      <c r="N74" s="15" t="inlineStr">
        <is>
          <t>Vocabulary EN→FR: Farm Animals</t>
        </is>
      </c>
      <c r="O74" s="15" t="inlineStr">
        <is>
          <t>Build first: farm animals</t>
        </is>
      </c>
      <c r="P74" s="15" t="inlineStr">
        <is>
          <t>P1</t>
        </is>
      </c>
      <c r="Q74" s="15" t="inlineStr">
        <is>
          <t>Idea</t>
        </is>
      </c>
      <c r="R74" s="48">
        <f>INDEX('Start Here'!$B$10:$B$16,WEEKDAY(C74,2))</f>
        <v/>
      </c>
      <c r="S74" s="48">
        <f>MOD(R74+'Start Here'!$B$6/24,1)</f>
        <v/>
      </c>
      <c r="T74" s="15" t="n"/>
      <c r="U74" s="15" t="n"/>
      <c r="V74" s="15" t="n"/>
      <c r="W74" s="15" t="n"/>
      <c r="X74" s="20" t="n"/>
      <c r="Y74" s="15" t="n"/>
    </row>
    <row r="75">
      <c r="A75" s="15" t="n">
        <v>74</v>
      </c>
      <c r="B75" s="16">
        <f>INT((A75-1)/7)+1</f>
        <v/>
      </c>
      <c r="C75" s="47">
        <f>'Start Here'!$B$5+A75-1</f>
        <v/>
      </c>
      <c r="D75" s="16">
        <f>TEXT(C75,"ddd")</f>
        <v/>
      </c>
      <c r="E75" s="15" t="inlineStr">
        <is>
          <t>Animal Thursday</t>
        </is>
      </c>
      <c r="F75" s="23" t="inlineStr">
        <is>
          <t>🦁 Animal Stories</t>
        </is>
      </c>
      <c r="G75" s="15" t="n">
        <v>11</v>
      </c>
      <c r="H75" s="15" t="inlineStr">
        <is>
          <t>The Lion and the Little Mouse</t>
        </is>
      </c>
      <c r="I75" s="15" t="inlineStr">
        <is>
          <t>The Lion and the Little Mouse 🦁 | Animal Stories for Kids | Tiny Sparks</t>
        </is>
      </c>
      <c r="J75" s="15" t="inlineStr">
        <is>
          <t>3–5</t>
        </is>
      </c>
      <c r="K75" s="15" t="inlineStr">
        <is>
          <t>Long 16:9 + Short teaser</t>
        </is>
      </c>
      <c r="L75" s="15" t="inlineStr">
        <is>
          <t>3–5 min (Short: 50 s)</t>
        </is>
      </c>
      <c r="M75" s="15" t="inlineStr">
        <is>
          <t>guest animal(s) + Bobo</t>
        </is>
      </c>
      <c r="N75" s="15" t="inlineStr">
        <is>
          <t>Story + 3 true animal facts; value: friendship</t>
        </is>
      </c>
      <c r="O75" s="15" t="inlineStr">
        <is>
          <t>Yes</t>
        </is>
      </c>
      <c r="P75" s="15" t="inlineStr">
        <is>
          <t>P1</t>
        </is>
      </c>
      <c r="Q75" s="15" t="inlineStr">
        <is>
          <t>Idea</t>
        </is>
      </c>
      <c r="R75" s="48">
        <f>INDEX('Start Here'!$B$10:$B$16,WEEKDAY(C75,2))</f>
        <v/>
      </c>
      <c r="S75" s="48">
        <f>MOD(R75+'Start Here'!$B$6/24,1)</f>
        <v/>
      </c>
      <c r="T75" s="15" t="n"/>
      <c r="U75" s="15" t="n"/>
      <c r="V75" s="15" t="n"/>
      <c r="W75" s="15" t="n"/>
      <c r="X75" s="20" t="n"/>
      <c r="Y75" s="15" t="n"/>
    </row>
    <row r="76">
      <c r="A76" s="15" t="n">
        <v>75</v>
      </c>
      <c r="B76" s="16">
        <f>INT((A76-1)/7)+1</f>
        <v/>
      </c>
      <c r="C76" s="47">
        <f>'Start Here'!$B$5+A76-1</f>
        <v/>
      </c>
      <c r="D76" s="16">
        <f>TEXT(C76,"ddd")</f>
        <v/>
      </c>
      <c r="E76" s="15" t="inlineStr">
        <is>
          <t>Science Friday</t>
        </is>
      </c>
      <c r="F76" s="24" t="inlineStr">
        <is>
          <t>🚀 Science for Kids</t>
        </is>
      </c>
      <c r="G76" s="15" t="n">
        <v>11</v>
      </c>
      <c r="H76" s="15" t="inlineStr">
        <is>
          <t>What Is Thunder?</t>
        </is>
      </c>
      <c r="I76" s="15" t="inlineStr">
        <is>
          <t>What Is Thunder? 🚀 | Science for Kids | Tiny Sparks</t>
        </is>
      </c>
      <c r="J76" s="15" t="inlineStr">
        <is>
          <t>3–5</t>
        </is>
      </c>
      <c r="K76" s="15" t="inlineStr">
        <is>
          <t>Short 9:16</t>
        </is>
      </c>
      <c r="L76" s="15" t="inlineStr">
        <is>
          <t>45–60 s</t>
        </is>
      </c>
      <c r="M76" s="15" t="inlineStr">
        <is>
          <t>Prof. Hoot + Leo (wrong guess) + Mila</t>
        </is>
      </c>
      <c r="N76" s="15" t="inlineStr">
        <is>
          <t>Answer simply: What Is Thunder?</t>
        </is>
      </c>
      <c r="O76" s="15" t="inlineStr">
        <is>
          <t>Yes</t>
        </is>
      </c>
      <c r="P76" s="15" t="inlineStr">
        <is>
          <t>P1</t>
        </is>
      </c>
      <c r="Q76" s="15" t="inlineStr">
        <is>
          <t>Idea</t>
        </is>
      </c>
      <c r="R76" s="48">
        <f>INDEX('Start Here'!$B$10:$B$16,WEEKDAY(C76,2))</f>
        <v/>
      </c>
      <c r="S76" s="48">
        <f>MOD(R76+'Start Here'!$B$6/24,1)</f>
        <v/>
      </c>
      <c r="T76" s="15" t="n"/>
      <c r="U76" s="15" t="n"/>
      <c r="V76" s="15" t="n"/>
      <c r="W76" s="15" t="n"/>
      <c r="X76" s="20" t="n"/>
      <c r="Y76" s="15" t="n"/>
    </row>
    <row r="77">
      <c r="A77" s="15" t="n">
        <v>76</v>
      </c>
      <c r="B77" s="16">
        <f>INT((A77-1)/7)+1</f>
        <v/>
      </c>
      <c r="C77" s="47">
        <f>'Start Here'!$B$5+A77-1</f>
        <v/>
      </c>
      <c r="D77" s="16">
        <f>TEXT(C77,"ddd")</f>
        <v/>
      </c>
      <c r="E77" s="15" t="inlineStr">
        <is>
          <t>Puzzle Saturday</t>
        </is>
      </c>
      <c r="F77" s="25" t="inlineStr">
        <is>
          <t>🧩 Puzzles &amp; Problem-Solving</t>
        </is>
      </c>
      <c r="G77" s="15" t="n">
        <v>11</v>
      </c>
      <c r="H77" s="15" t="inlineStr">
        <is>
          <t>Find 5 Differences</t>
        </is>
      </c>
      <c r="I77" s="15" t="inlineStr">
        <is>
          <t>Find 5 Differences 🧩 | Brain Games for Kids | Tiny Sparks</t>
        </is>
      </c>
      <c r="J77" s="15" t="inlineStr">
        <is>
          <t>6–8</t>
        </is>
      </c>
      <c r="K77" s="15" t="inlineStr">
        <is>
          <t>Short 9:16</t>
        </is>
      </c>
      <c r="L77" s="15" t="inlineStr">
        <is>
          <t>45–60 s</t>
        </is>
      </c>
      <c r="M77" s="15" t="inlineStr">
        <is>
          <t>Prof. Hoot + Leo + score strip</t>
        </is>
      </c>
      <c r="N77" s="15" t="inlineStr">
        <is>
          <t>Thinking skill: observation</t>
        </is>
      </c>
      <c r="O77" s="15" t="inlineStr">
        <is>
          <t>Yes</t>
        </is>
      </c>
      <c r="P77" s="15" t="inlineStr">
        <is>
          <t>P1</t>
        </is>
      </c>
      <c r="Q77" s="15" t="inlineStr">
        <is>
          <t>Idea</t>
        </is>
      </c>
      <c r="R77" s="48">
        <f>INDEX('Start Here'!$B$10:$B$16,WEEKDAY(C77,2))</f>
        <v/>
      </c>
      <c r="S77" s="48">
        <f>MOD(R77+'Start Here'!$B$6/24,1)</f>
        <v/>
      </c>
      <c r="T77" s="15" t="n"/>
      <c r="U77" s="15" t="n"/>
      <c r="V77" s="15" t="n"/>
      <c r="W77" s="15" t="n"/>
      <c r="X77" s="20" t="n"/>
      <c r="Y77" s="15" t="n"/>
    </row>
    <row r="78">
      <c r="A78" s="15" t="n">
        <v>77</v>
      </c>
      <c r="B78" s="16">
        <f>INT((A78-1)/7)+1</f>
        <v/>
      </c>
      <c r="C78" s="47">
        <f>'Start Here'!$B$5+A78-1</f>
        <v/>
      </c>
      <c r="D78" s="16">
        <f>TEXT(C78,"ddd")</f>
        <v/>
      </c>
      <c r="E78" s="15" t="inlineStr">
        <is>
          <t>Song Sunday</t>
        </is>
      </c>
      <c r="F78" s="26" t="inlineStr">
        <is>
          <t>🎵 Educational Songs</t>
        </is>
      </c>
      <c r="G78" s="15" t="n">
        <v>11</v>
      </c>
      <c r="H78" s="15" t="inlineStr">
        <is>
          <t>Addition Song</t>
        </is>
      </c>
      <c r="I78" s="15" t="inlineStr">
        <is>
          <t>Addition Song 🎵 | Kids Songs | Tiny Sparks</t>
        </is>
      </c>
      <c r="J78" s="15" t="inlineStr">
        <is>
          <t>6–8</t>
        </is>
      </c>
      <c r="K78" s="15" t="inlineStr">
        <is>
          <t>Long 16:9 + Short cut</t>
        </is>
      </c>
      <c r="L78" s="15" t="inlineStr">
        <is>
          <t>2–3 min (Short: 45 s chorus)</t>
        </is>
      </c>
      <c r="M78" s="15" t="inlineStr">
        <is>
          <t>Mila sings, all dance</t>
        </is>
      </c>
      <c r="N78" s="15" t="inlineStr">
        <is>
          <t>Sing &amp; learn: Addition</t>
        </is>
      </c>
      <c r="O78" s="15" t="inlineStr">
        <is>
          <t>Yes</t>
        </is>
      </c>
      <c r="P78" s="15" t="inlineStr">
        <is>
          <t>P1</t>
        </is>
      </c>
      <c r="Q78" s="15" t="inlineStr">
        <is>
          <t>Idea</t>
        </is>
      </c>
      <c r="R78" s="48">
        <f>INDEX('Start Here'!$B$10:$B$16,WEEKDAY(C78,2))</f>
        <v/>
      </c>
      <c r="S78" s="48">
        <f>MOD(R78+'Start Here'!$B$6/24,1)</f>
        <v/>
      </c>
      <c r="T78" s="15" t="n"/>
      <c r="U78" s="15" t="n"/>
      <c r="V78" s="15" t="n"/>
      <c r="W78" s="15" t="n"/>
      <c r="X78" s="20" t="n"/>
      <c r="Y78" s="15" t="n"/>
    </row>
    <row r="79">
      <c r="A79" s="15" t="n">
        <v>78</v>
      </c>
      <c r="B79" s="16">
        <f>INT((A79-1)/7)+1</f>
        <v/>
      </c>
      <c r="C79" s="47">
        <f>'Start Here'!$B$5+A79-1</f>
        <v/>
      </c>
      <c r="D79" s="16">
        <f>TEXT(C79,"ddd")</f>
        <v/>
      </c>
      <c r="E79" s="15" t="inlineStr">
        <is>
          <t>Story Monday</t>
        </is>
      </c>
      <c r="F79" s="27" t="inlineStr">
        <is>
          <t>📚 Moral Stories</t>
        </is>
      </c>
      <c r="G79" s="15" t="n">
        <v>6</v>
      </c>
      <c r="H79" s="15" t="inlineStr">
        <is>
          <t>The Turtle Who Never Gave Up</t>
        </is>
      </c>
      <c r="I79" s="15" t="inlineStr">
        <is>
          <t>The Turtle Who Never Gave Up 📚 | Moral Stories for Kids | Tiny Sparks</t>
        </is>
      </c>
      <c r="J79" s="15" t="inlineStr">
        <is>
          <t>3–5</t>
        </is>
      </c>
      <c r="K79" s="15" t="inlineStr">
        <is>
          <t>Long 16:9 + Short teaser</t>
        </is>
      </c>
      <c r="L79" s="15" t="inlineStr">
        <is>
          <t>3–5 min (Short: 50 s)</t>
        </is>
      </c>
      <c r="M79" s="15" t="inlineStr">
        <is>
          <t>narrator + guest animals / Mila &amp; Leo</t>
        </is>
      </c>
      <c r="N79" s="15" t="inlineStr">
        <is>
          <t>Value: perseverance</t>
        </is>
      </c>
      <c r="O79" s="15" t="inlineStr">
        <is>
          <t>Build first: turtle</t>
        </is>
      </c>
      <c r="P79" s="15" t="inlineStr">
        <is>
          <t>P1</t>
        </is>
      </c>
      <c r="Q79" s="15" t="inlineStr">
        <is>
          <t>Idea</t>
        </is>
      </c>
      <c r="R79" s="48">
        <f>INDEX('Start Here'!$B$10:$B$16,WEEKDAY(C79,2))</f>
        <v/>
      </c>
      <c r="S79" s="48">
        <f>MOD(R79+'Start Here'!$B$6/24,1)</f>
        <v/>
      </c>
      <c r="T79" s="15" t="n"/>
      <c r="U79" s="15" t="n"/>
      <c r="V79" s="15" t="n"/>
      <c r="W79" s="15" t="n"/>
      <c r="X79" s="20" t="n"/>
      <c r="Y79" s="15" t="n"/>
    </row>
    <row r="80">
      <c r="A80" s="15" t="n">
        <v>79</v>
      </c>
      <c r="B80" s="16">
        <f>INT((A80-1)/7)+1</f>
        <v/>
      </c>
      <c r="C80" s="47">
        <f>'Start Here'!$B$5+A80-1</f>
        <v/>
      </c>
      <c r="D80" s="16">
        <f>TEXT(C80,"ddd")</f>
        <v/>
      </c>
      <c r="E80" s="15" t="inlineStr">
        <is>
          <t>Math Tuesday</t>
        </is>
      </c>
      <c r="F80" s="21" t="inlineStr">
        <is>
          <t>🔢 Numbers &amp; Math</t>
        </is>
      </c>
      <c r="G80" s="15" t="n">
        <v>12</v>
      </c>
      <c r="H80" s="15" t="inlineStr">
        <is>
          <t>Learn Number 2</t>
        </is>
      </c>
      <c r="I80" s="15" t="inlineStr">
        <is>
          <t>Learn Number 2 🔢 | Learn Math for Kids | Tiny Sparks</t>
        </is>
      </c>
      <c r="J80" s="15" t="inlineStr">
        <is>
          <t>3–5</t>
        </is>
      </c>
      <c r="K80" s="15" t="inlineStr">
        <is>
          <t>Short 9:16</t>
        </is>
      </c>
      <c r="L80" s="15" t="inlineStr">
        <is>
          <t>45–60 s</t>
        </is>
      </c>
      <c r="M80" s="15" t="inlineStr">
        <is>
          <t>Bobo + Mila (counting fingers)</t>
        </is>
      </c>
      <c r="N80" s="15" t="inlineStr">
        <is>
          <t>Math: Learn Number 2</t>
        </is>
      </c>
      <c r="O80" s="15" t="inlineStr">
        <is>
          <t>Yes</t>
        </is>
      </c>
      <c r="P80" s="15" t="inlineStr">
        <is>
          <t>P1</t>
        </is>
      </c>
      <c r="Q80" s="15" t="inlineStr">
        <is>
          <t>Idea</t>
        </is>
      </c>
      <c r="R80" s="48">
        <f>INDEX('Start Here'!$B$10:$B$16,WEEKDAY(C80,2))</f>
        <v/>
      </c>
      <c r="S80" s="48">
        <f>MOD(R80+'Start Here'!$B$6/24,1)</f>
        <v/>
      </c>
      <c r="T80" s="15" t="n"/>
      <c r="U80" s="15" t="n"/>
      <c r="V80" s="15" t="n"/>
      <c r="W80" s="15" t="n"/>
      <c r="X80" s="20" t="n"/>
      <c r="Y80" s="15" t="n"/>
    </row>
    <row r="81">
      <c r="A81" s="15" t="n">
        <v>80</v>
      </c>
      <c r="B81" s="16">
        <f>INT((A81-1)/7)+1</f>
        <v/>
      </c>
      <c r="C81" s="47">
        <f>'Start Here'!$B$5+A81-1</f>
        <v/>
      </c>
      <c r="D81" s="16">
        <f>TEXT(C81,"ddd")</f>
        <v/>
      </c>
      <c r="E81" s="15" t="inlineStr">
        <is>
          <t>Word Wednesday</t>
        </is>
      </c>
      <c r="F81" s="22" t="inlineStr">
        <is>
          <t>🔤 English/French Words</t>
        </is>
      </c>
      <c r="G81" s="15" t="n">
        <v>12</v>
      </c>
      <c r="H81" s="15" t="inlineStr">
        <is>
          <t>Wild Animals English/French</t>
        </is>
      </c>
      <c r="I81" s="15" t="inlineStr">
        <is>
          <t>Wild Animals English/French 🔤 | Kids Vocabulary | Tiny Sparks</t>
        </is>
      </c>
      <c r="J81" s="15" t="inlineStr">
        <is>
          <t>3–5</t>
        </is>
      </c>
      <c r="K81" s="15" t="inlineStr">
        <is>
          <t>Short 9:16</t>
        </is>
      </c>
      <c r="L81" s="15" t="inlineStr">
        <is>
          <t>45–60 s</t>
        </is>
      </c>
      <c r="M81" s="15" t="inlineStr">
        <is>
          <t>Mila + French narrator</t>
        </is>
      </c>
      <c r="N81" s="15" t="inlineStr">
        <is>
          <t>Vocabulary EN→FR: Wild Animals</t>
        </is>
      </c>
      <c r="O81" s="15" t="inlineStr">
        <is>
          <t>Yes</t>
        </is>
      </c>
      <c r="P81" s="15" t="inlineStr">
        <is>
          <t>P1</t>
        </is>
      </c>
      <c r="Q81" s="15" t="inlineStr">
        <is>
          <t>Idea</t>
        </is>
      </c>
      <c r="R81" s="48">
        <f>INDEX('Start Here'!$B$10:$B$16,WEEKDAY(C81,2))</f>
        <v/>
      </c>
      <c r="S81" s="48">
        <f>MOD(R81+'Start Here'!$B$6/24,1)</f>
        <v/>
      </c>
      <c r="T81" s="15" t="n"/>
      <c r="U81" s="15" t="n"/>
      <c r="V81" s="15" t="n"/>
      <c r="W81" s="15" t="n"/>
      <c r="X81" s="20" t="n"/>
      <c r="Y81" s="15" t="n"/>
    </row>
    <row r="82">
      <c r="A82" s="15" t="n">
        <v>81</v>
      </c>
      <c r="B82" s="16">
        <f>INT((A82-1)/7)+1</f>
        <v/>
      </c>
      <c r="C82" s="47">
        <f>'Start Here'!$B$5+A82-1</f>
        <v/>
      </c>
      <c r="D82" s="16">
        <f>TEXT(C82,"ddd")</f>
        <v/>
      </c>
      <c r="E82" s="15" t="inlineStr">
        <is>
          <t>Animal Thursday</t>
        </is>
      </c>
      <c r="F82" s="23" t="inlineStr">
        <is>
          <t>🦁 Animal Stories</t>
        </is>
      </c>
      <c r="G82" s="15" t="n">
        <v>12</v>
      </c>
      <c r="H82" s="15" t="inlineStr">
        <is>
          <t>The Rabbit and the Wise Owl</t>
        </is>
      </c>
      <c r="I82" s="15" t="inlineStr">
        <is>
          <t>The Rabbit and the Wise Owl 🦁 | Animal Stories for Kids | Tiny Sparks</t>
        </is>
      </c>
      <c r="J82" s="15" t="inlineStr">
        <is>
          <t>3–5</t>
        </is>
      </c>
      <c r="K82" s="15" t="inlineStr">
        <is>
          <t>Long 16:9 + Short teaser</t>
        </is>
      </c>
      <c r="L82" s="15" t="inlineStr">
        <is>
          <t>3–5 min (Short: 50 s)</t>
        </is>
      </c>
      <c r="M82" s="15" t="inlineStr">
        <is>
          <t>guest animal(s) + Bobo</t>
        </is>
      </c>
      <c r="N82" s="15" t="inlineStr">
        <is>
          <t>Story + 3 true animal facts; value: friendship</t>
        </is>
      </c>
      <c r="O82" s="15" t="inlineStr">
        <is>
          <t>Yes</t>
        </is>
      </c>
      <c r="P82" s="15" t="inlineStr">
        <is>
          <t>P1</t>
        </is>
      </c>
      <c r="Q82" s="15" t="inlineStr">
        <is>
          <t>Idea</t>
        </is>
      </c>
      <c r="R82" s="48">
        <f>INDEX('Start Here'!$B$10:$B$16,WEEKDAY(C82,2))</f>
        <v/>
      </c>
      <c r="S82" s="48">
        <f>MOD(R82+'Start Here'!$B$6/24,1)</f>
        <v/>
      </c>
      <c r="T82" s="15" t="n"/>
      <c r="U82" s="15" t="n"/>
      <c r="V82" s="15" t="n"/>
      <c r="W82" s="15" t="n"/>
      <c r="X82" s="20" t="n"/>
      <c r="Y82" s="15" t="n"/>
    </row>
    <row r="83">
      <c r="A83" s="15" t="n">
        <v>82</v>
      </c>
      <c r="B83" s="16">
        <f>INT((A83-1)/7)+1</f>
        <v/>
      </c>
      <c r="C83" s="47">
        <f>'Start Here'!$B$5+A83-1</f>
        <v/>
      </c>
      <c r="D83" s="16">
        <f>TEXT(C83,"ddd")</f>
        <v/>
      </c>
      <c r="E83" s="15" t="inlineStr">
        <is>
          <t>Science Friday</t>
        </is>
      </c>
      <c r="F83" s="24" t="inlineStr">
        <is>
          <t>🚀 Science for Kids</t>
        </is>
      </c>
      <c r="G83" s="15" t="n">
        <v>12</v>
      </c>
      <c r="H83" s="15" t="inlineStr">
        <is>
          <t>Why Does Wind Blow?</t>
        </is>
      </c>
      <c r="I83" s="15" t="inlineStr">
        <is>
          <t>Why Does Wind Blow? 🚀 | Science for Kids | Tiny Sparks</t>
        </is>
      </c>
      <c r="J83" s="15" t="inlineStr">
        <is>
          <t>3–5</t>
        </is>
      </c>
      <c r="K83" s="15" t="inlineStr">
        <is>
          <t>Short 9:16</t>
        </is>
      </c>
      <c r="L83" s="15" t="inlineStr">
        <is>
          <t>45–60 s</t>
        </is>
      </c>
      <c r="M83" s="15" t="inlineStr">
        <is>
          <t>Prof. Hoot + Leo (wrong guess) + Mila</t>
        </is>
      </c>
      <c r="N83" s="15" t="inlineStr">
        <is>
          <t>Answer simply: Why Does Wind Blow?</t>
        </is>
      </c>
      <c r="O83" s="15" t="inlineStr">
        <is>
          <t>Yes</t>
        </is>
      </c>
      <c r="P83" s="15" t="inlineStr">
        <is>
          <t>P1</t>
        </is>
      </c>
      <c r="Q83" s="15" t="inlineStr">
        <is>
          <t>Idea</t>
        </is>
      </c>
      <c r="R83" s="48">
        <f>INDEX('Start Here'!$B$10:$B$16,WEEKDAY(C83,2))</f>
        <v/>
      </c>
      <c r="S83" s="48">
        <f>MOD(R83+'Start Here'!$B$6/24,1)</f>
        <v/>
      </c>
      <c r="T83" s="15" t="n"/>
      <c r="U83" s="15" t="n"/>
      <c r="V83" s="15" t="n"/>
      <c r="W83" s="15" t="n"/>
      <c r="X83" s="20" t="n"/>
      <c r="Y83" s="15" t="n"/>
    </row>
    <row r="84">
      <c r="A84" s="15" t="n">
        <v>83</v>
      </c>
      <c r="B84" s="16">
        <f>INT((A84-1)/7)+1</f>
        <v/>
      </c>
      <c r="C84" s="47">
        <f>'Start Here'!$B$5+A84-1</f>
        <v/>
      </c>
      <c r="D84" s="16">
        <f>TEXT(C84,"ddd")</f>
        <v/>
      </c>
      <c r="E84" s="15" t="inlineStr">
        <is>
          <t>Puzzle Saturday</t>
        </is>
      </c>
      <c r="F84" s="25" t="inlineStr">
        <is>
          <t>🧩 Puzzles &amp; Problem-Solving</t>
        </is>
      </c>
      <c r="G84" s="15" t="n">
        <v>12</v>
      </c>
      <c r="H84" s="15" t="inlineStr">
        <is>
          <t>Find 10 Differences</t>
        </is>
      </c>
      <c r="I84" s="15" t="inlineStr">
        <is>
          <t>Find 10 Differences 🧩 | Brain Games for Kids | Tiny Sparks</t>
        </is>
      </c>
      <c r="J84" s="15" t="inlineStr">
        <is>
          <t>6–8</t>
        </is>
      </c>
      <c r="K84" s="15" t="inlineStr">
        <is>
          <t>Short 9:16</t>
        </is>
      </c>
      <c r="L84" s="15" t="inlineStr">
        <is>
          <t>45–60 s</t>
        </is>
      </c>
      <c r="M84" s="15" t="inlineStr">
        <is>
          <t>Prof. Hoot + Leo + score strip</t>
        </is>
      </c>
      <c r="N84" s="15" t="inlineStr">
        <is>
          <t>Thinking skill: observation</t>
        </is>
      </c>
      <c r="O84" s="15" t="inlineStr">
        <is>
          <t>Yes</t>
        </is>
      </c>
      <c r="P84" s="15" t="inlineStr">
        <is>
          <t>P1</t>
        </is>
      </c>
      <c r="Q84" s="15" t="inlineStr">
        <is>
          <t>Idea</t>
        </is>
      </c>
      <c r="R84" s="48">
        <f>INDEX('Start Here'!$B$10:$B$16,WEEKDAY(C84,2))</f>
        <v/>
      </c>
      <c r="S84" s="48">
        <f>MOD(R84+'Start Here'!$B$6/24,1)</f>
        <v/>
      </c>
      <c r="T84" s="15" t="n"/>
      <c r="U84" s="15" t="n"/>
      <c r="V84" s="15" t="n"/>
      <c r="W84" s="15" t="n"/>
      <c r="X84" s="20" t="n"/>
      <c r="Y84" s="15" t="n"/>
    </row>
    <row r="85">
      <c r="A85" s="15" t="n">
        <v>84</v>
      </c>
      <c r="B85" s="16">
        <f>INT((A85-1)/7)+1</f>
        <v/>
      </c>
      <c r="C85" s="47">
        <f>'Start Here'!$B$5+A85-1</f>
        <v/>
      </c>
      <c r="D85" s="16">
        <f>TEXT(C85,"ddd")</f>
        <v/>
      </c>
      <c r="E85" s="15" t="inlineStr">
        <is>
          <t>Song Sunday</t>
        </is>
      </c>
      <c r="F85" s="26" t="inlineStr">
        <is>
          <t>🎵 Educational Songs</t>
        </is>
      </c>
      <c r="G85" s="15" t="n">
        <v>12</v>
      </c>
      <c r="H85" s="15" t="inlineStr">
        <is>
          <t>Subtraction Song</t>
        </is>
      </c>
      <c r="I85" s="15" t="inlineStr">
        <is>
          <t>Subtraction Song 🎵 | Kids Songs | Tiny Sparks</t>
        </is>
      </c>
      <c r="J85" s="15" t="inlineStr">
        <is>
          <t>6–8</t>
        </is>
      </c>
      <c r="K85" s="15" t="inlineStr">
        <is>
          <t>Long 16:9 + Short cut</t>
        </is>
      </c>
      <c r="L85" s="15" t="inlineStr">
        <is>
          <t>2–3 min (Short: 45 s chorus)</t>
        </is>
      </c>
      <c r="M85" s="15" t="inlineStr">
        <is>
          <t>Mila sings, all dance</t>
        </is>
      </c>
      <c r="N85" s="15" t="inlineStr">
        <is>
          <t>Sing &amp; learn: Subtraction</t>
        </is>
      </c>
      <c r="O85" s="15" t="inlineStr">
        <is>
          <t>Yes</t>
        </is>
      </c>
      <c r="P85" s="15" t="inlineStr">
        <is>
          <t>P1</t>
        </is>
      </c>
      <c r="Q85" s="15" t="inlineStr">
        <is>
          <t>Idea</t>
        </is>
      </c>
      <c r="R85" s="48">
        <f>INDEX('Start Here'!$B$10:$B$16,WEEKDAY(C85,2))</f>
        <v/>
      </c>
      <c r="S85" s="48">
        <f>MOD(R85+'Start Here'!$B$6/24,1)</f>
        <v/>
      </c>
      <c r="T85" s="15" t="n"/>
      <c r="U85" s="15" t="n"/>
      <c r="V85" s="15" t="n"/>
      <c r="W85" s="15" t="n"/>
      <c r="X85" s="20" t="n"/>
      <c r="Y85" s="15" t="n"/>
    </row>
    <row r="86">
      <c r="A86" s="15" t="n">
        <v>85</v>
      </c>
      <c r="B86" s="16">
        <f>INT((A86-1)/7)+1</f>
        <v/>
      </c>
      <c r="C86" s="47">
        <f>'Start Here'!$B$5+A86-1</f>
        <v/>
      </c>
      <c r="D86" s="16">
        <f>TEXT(C86,"ddd")</f>
        <v/>
      </c>
      <c r="E86" s="15" t="inlineStr">
        <is>
          <t>Story Monday</t>
        </is>
      </c>
      <c r="F86" s="18" t="inlineStr">
        <is>
          <t>🧠 Educational Stories</t>
        </is>
      </c>
      <c r="G86" s="15" t="n">
        <v>7</v>
      </c>
      <c r="H86" s="15" t="inlineStr">
        <is>
          <t>The Little Boy Who Learned to Be Responsible</t>
        </is>
      </c>
      <c r="I86" s="15" t="inlineStr">
        <is>
          <t>The Little Boy Who Learned to Be Responsible 🧠 | Kids Stories | Tiny Sparks</t>
        </is>
      </c>
      <c r="J86" s="15" t="inlineStr">
        <is>
          <t>3–5</t>
        </is>
      </c>
      <c r="K86" s="15" t="inlineStr">
        <is>
          <t>Long 16:9 + Short teaser</t>
        </is>
      </c>
      <c r="L86" s="15" t="inlineStr">
        <is>
          <t>3–5 min (Short: 50 s)</t>
        </is>
      </c>
      <c r="M86" s="15" t="inlineStr">
        <is>
          <t>Mila, Leo, Bobo + narrator</t>
        </is>
      </c>
      <c r="N86" s="15" t="inlineStr">
        <is>
          <t>Life skill: Be Responsible</t>
        </is>
      </c>
      <c r="O86" s="15" t="inlineStr">
        <is>
          <t>Yes</t>
        </is>
      </c>
      <c r="P86" s="15" t="inlineStr">
        <is>
          <t>P1</t>
        </is>
      </c>
      <c r="Q86" s="15" t="inlineStr">
        <is>
          <t>Idea</t>
        </is>
      </c>
      <c r="R86" s="48">
        <f>INDEX('Start Here'!$B$10:$B$16,WEEKDAY(C86,2))</f>
        <v/>
      </c>
      <c r="S86" s="48">
        <f>MOD(R86+'Start Here'!$B$6/24,1)</f>
        <v/>
      </c>
      <c r="T86" s="15" t="n"/>
      <c r="U86" s="15" t="n"/>
      <c r="V86" s="15" t="n"/>
      <c r="W86" s="15" t="n"/>
      <c r="X86" s="20" t="n"/>
      <c r="Y86" s="15" t="n"/>
    </row>
    <row r="87">
      <c r="A87" s="15" t="n">
        <v>86</v>
      </c>
      <c r="B87" s="16">
        <f>INT((A87-1)/7)+1</f>
        <v/>
      </c>
      <c r="C87" s="47">
        <f>'Start Here'!$B$5+A87-1</f>
        <v/>
      </c>
      <c r="D87" s="16">
        <f>TEXT(C87,"ddd")</f>
        <v/>
      </c>
      <c r="E87" s="15" t="inlineStr">
        <is>
          <t>Math Tuesday</t>
        </is>
      </c>
      <c r="F87" s="21" t="inlineStr">
        <is>
          <t>🔢 Numbers &amp; Math</t>
        </is>
      </c>
      <c r="G87" s="15" t="n">
        <v>13</v>
      </c>
      <c r="H87" s="15" t="inlineStr">
        <is>
          <t>Learn Number 3</t>
        </is>
      </c>
      <c r="I87" s="15" t="inlineStr">
        <is>
          <t>Learn Number 3 🔢 | Learn Math for Kids | Tiny Sparks</t>
        </is>
      </c>
      <c r="J87" s="15" t="inlineStr">
        <is>
          <t>3–5</t>
        </is>
      </c>
      <c r="K87" s="15" t="inlineStr">
        <is>
          <t>Short 9:16</t>
        </is>
      </c>
      <c r="L87" s="15" t="inlineStr">
        <is>
          <t>45–60 s</t>
        </is>
      </c>
      <c r="M87" s="15" t="inlineStr">
        <is>
          <t>Bobo + Mila (counting fingers)</t>
        </is>
      </c>
      <c r="N87" s="15" t="inlineStr">
        <is>
          <t>Math: Learn Number 3</t>
        </is>
      </c>
      <c r="O87" s="15" t="inlineStr">
        <is>
          <t>Yes</t>
        </is>
      </c>
      <c r="P87" s="15" t="inlineStr">
        <is>
          <t>P1</t>
        </is>
      </c>
      <c r="Q87" s="15" t="inlineStr">
        <is>
          <t>Idea</t>
        </is>
      </c>
      <c r="R87" s="48">
        <f>INDEX('Start Here'!$B$10:$B$16,WEEKDAY(C87,2))</f>
        <v/>
      </c>
      <c r="S87" s="48">
        <f>MOD(R87+'Start Here'!$B$6/24,1)</f>
        <v/>
      </c>
      <c r="T87" s="15" t="n"/>
      <c r="U87" s="15" t="n"/>
      <c r="V87" s="15" t="n"/>
      <c r="W87" s="15" t="n"/>
      <c r="X87" s="20" t="n"/>
      <c r="Y87" s="15" t="n"/>
    </row>
    <row r="88">
      <c r="A88" s="15" t="n">
        <v>87</v>
      </c>
      <c r="B88" s="16">
        <f>INT((A88-1)/7)+1</f>
        <v/>
      </c>
      <c r="C88" s="47">
        <f>'Start Here'!$B$5+A88-1</f>
        <v/>
      </c>
      <c r="D88" s="16">
        <f>TEXT(C88,"ddd")</f>
        <v/>
      </c>
      <c r="E88" s="15" t="inlineStr">
        <is>
          <t>Word Wednesday</t>
        </is>
      </c>
      <c r="F88" s="22" t="inlineStr">
        <is>
          <t>🔤 English/French Words</t>
        </is>
      </c>
      <c r="G88" s="15" t="n">
        <v>13</v>
      </c>
      <c r="H88" s="15" t="inlineStr">
        <is>
          <t>Ocean Animals English/French</t>
        </is>
      </c>
      <c r="I88" s="15" t="inlineStr">
        <is>
          <t>Ocean Animals English/French 🔤 | Kids Vocabulary | Tiny Sparks</t>
        </is>
      </c>
      <c r="J88" s="15" t="inlineStr">
        <is>
          <t>3–5</t>
        </is>
      </c>
      <c r="K88" s="15" t="inlineStr">
        <is>
          <t>Short 9:16</t>
        </is>
      </c>
      <c r="L88" s="15" t="inlineStr">
        <is>
          <t>45–60 s</t>
        </is>
      </c>
      <c r="M88" s="15" t="inlineStr">
        <is>
          <t>Mila + French narrator</t>
        </is>
      </c>
      <c r="N88" s="15" t="inlineStr">
        <is>
          <t>Vocabulary EN→FR: Ocean Animals</t>
        </is>
      </c>
      <c r="O88" s="15" t="inlineStr">
        <is>
          <t>Build first: ocean animals</t>
        </is>
      </c>
      <c r="P88" s="15" t="inlineStr">
        <is>
          <t>P1</t>
        </is>
      </c>
      <c r="Q88" s="15" t="inlineStr">
        <is>
          <t>Idea</t>
        </is>
      </c>
      <c r="R88" s="48">
        <f>INDEX('Start Here'!$B$10:$B$16,WEEKDAY(C88,2))</f>
        <v/>
      </c>
      <c r="S88" s="48">
        <f>MOD(R88+'Start Here'!$B$6/24,1)</f>
        <v/>
      </c>
      <c r="T88" s="15" t="n"/>
      <c r="U88" s="15" t="n"/>
      <c r="V88" s="15" t="n"/>
      <c r="W88" s="15" t="n"/>
      <c r="X88" s="20" t="n"/>
      <c r="Y88" s="15" t="n"/>
    </row>
    <row r="89">
      <c r="A89" s="15" t="n">
        <v>88</v>
      </c>
      <c r="B89" s="16">
        <f>INT((A89-1)/7)+1</f>
        <v/>
      </c>
      <c r="C89" s="47">
        <f>'Start Here'!$B$5+A89-1</f>
        <v/>
      </c>
      <c r="D89" s="16">
        <f>TEXT(C89,"ddd")</f>
        <v/>
      </c>
      <c r="E89" s="15" t="inlineStr">
        <is>
          <t>Animal Thursday</t>
        </is>
      </c>
      <c r="F89" s="23" t="inlineStr">
        <is>
          <t>🦁 Animal Stories</t>
        </is>
      </c>
      <c r="G89" s="15" t="n">
        <v>13</v>
      </c>
      <c r="H89" s="15" t="inlineStr">
        <is>
          <t>The Clever Fox and the Lost Bird</t>
        </is>
      </c>
      <c r="I89" s="15" t="inlineStr">
        <is>
          <t>The Clever Fox and the Lost Bird 🦁 | Animal Stories for Kids | Tiny Sparks</t>
        </is>
      </c>
      <c r="J89" s="15" t="inlineStr">
        <is>
          <t>3–5</t>
        </is>
      </c>
      <c r="K89" s="15" t="inlineStr">
        <is>
          <t>Long 16:9 + Short teaser</t>
        </is>
      </c>
      <c r="L89" s="15" t="inlineStr">
        <is>
          <t>3–5 min (Short: 50 s)</t>
        </is>
      </c>
      <c r="M89" s="15" t="inlineStr">
        <is>
          <t>guest animal(s) + Bobo</t>
        </is>
      </c>
      <c r="N89" s="15" t="inlineStr">
        <is>
          <t>Story + 3 true animal facts; value: thinking smart</t>
        </is>
      </c>
      <c r="O89" s="15" t="inlineStr">
        <is>
          <t>Build first: bird</t>
        </is>
      </c>
      <c r="P89" s="15" t="inlineStr">
        <is>
          <t>P1</t>
        </is>
      </c>
      <c r="Q89" s="15" t="inlineStr">
        <is>
          <t>Idea</t>
        </is>
      </c>
      <c r="R89" s="48">
        <f>INDEX('Start Here'!$B$10:$B$16,WEEKDAY(C89,2))</f>
        <v/>
      </c>
      <c r="S89" s="48">
        <f>MOD(R89+'Start Here'!$B$6/24,1)</f>
        <v/>
      </c>
      <c r="T89" s="15" t="n"/>
      <c r="U89" s="15" t="n"/>
      <c r="V89" s="15" t="n"/>
      <c r="W89" s="15" t="n"/>
      <c r="X89" s="20" t="n"/>
      <c r="Y89" s="15" t="n"/>
    </row>
    <row r="90">
      <c r="A90" s="15" t="n">
        <v>89</v>
      </c>
      <c r="B90" s="16">
        <f>INT((A90-1)/7)+1</f>
        <v/>
      </c>
      <c r="C90" s="47">
        <f>'Start Here'!$B$5+A90-1</f>
        <v/>
      </c>
      <c r="D90" s="16">
        <f>TEXT(C90,"ddd")</f>
        <v/>
      </c>
      <c r="E90" s="15" t="inlineStr">
        <is>
          <t>Science Friday</t>
        </is>
      </c>
      <c r="F90" s="24" t="inlineStr">
        <is>
          <t>🚀 Science for Kids</t>
        </is>
      </c>
      <c r="G90" s="15" t="n">
        <v>13</v>
      </c>
      <c r="H90" s="15" t="inlineStr">
        <is>
          <t>What Is a Storm?</t>
        </is>
      </c>
      <c r="I90" s="15" t="inlineStr">
        <is>
          <t>What Is a Storm? 🚀 | Science for Kids | Tiny Sparks</t>
        </is>
      </c>
      <c r="J90" s="15" t="inlineStr">
        <is>
          <t>3–5</t>
        </is>
      </c>
      <c r="K90" s="15" t="inlineStr">
        <is>
          <t>Short 9:16</t>
        </is>
      </c>
      <c r="L90" s="15" t="inlineStr">
        <is>
          <t>45–60 s</t>
        </is>
      </c>
      <c r="M90" s="15" t="inlineStr">
        <is>
          <t>Prof. Hoot + Leo (wrong guess) + Mila</t>
        </is>
      </c>
      <c r="N90" s="15" t="inlineStr">
        <is>
          <t>Answer simply: What Is a Storm?</t>
        </is>
      </c>
      <c r="O90" s="15" t="inlineStr">
        <is>
          <t>Yes</t>
        </is>
      </c>
      <c r="P90" s="15" t="inlineStr">
        <is>
          <t>P1</t>
        </is>
      </c>
      <c r="Q90" s="15" t="inlineStr">
        <is>
          <t>Idea</t>
        </is>
      </c>
      <c r="R90" s="48">
        <f>INDEX('Start Here'!$B$10:$B$16,WEEKDAY(C90,2))</f>
        <v/>
      </c>
      <c r="S90" s="48">
        <f>MOD(R90+'Start Here'!$B$6/24,1)</f>
        <v/>
      </c>
      <c r="T90" s="15" t="n"/>
      <c r="U90" s="15" t="n"/>
      <c r="V90" s="15" t="n"/>
      <c r="W90" s="15" t="n"/>
      <c r="X90" s="20" t="n"/>
      <c r="Y90" s="15" t="n"/>
    </row>
    <row r="91">
      <c r="A91" s="15" t="n">
        <v>90</v>
      </c>
      <c r="B91" s="16">
        <f>INT((A91-1)/7)+1</f>
        <v/>
      </c>
      <c r="C91" s="47">
        <f>'Start Here'!$B$5+A91-1</f>
        <v/>
      </c>
      <c r="D91" s="16">
        <f>TEXT(C91,"ddd")</f>
        <v/>
      </c>
      <c r="E91" s="15" t="inlineStr">
        <is>
          <t>Puzzle Saturday</t>
        </is>
      </c>
      <c r="F91" s="25" t="inlineStr">
        <is>
          <t>🧩 Puzzles &amp; Problem-Solving</t>
        </is>
      </c>
      <c r="G91" s="15" t="n">
        <v>13</v>
      </c>
      <c r="H91" s="15" t="inlineStr">
        <is>
          <t>Spot the Difference: Jungle</t>
        </is>
      </c>
      <c r="I91" s="15" t="inlineStr">
        <is>
          <t>Spot the Difference: Jungle 🧩 | Brain Games for Kids | Tiny Sparks</t>
        </is>
      </c>
      <c r="J91" s="15" t="inlineStr">
        <is>
          <t>3–5</t>
        </is>
      </c>
      <c r="K91" s="15" t="inlineStr">
        <is>
          <t>Short 9:16</t>
        </is>
      </c>
      <c r="L91" s="15" t="inlineStr">
        <is>
          <t>45–60 s</t>
        </is>
      </c>
      <c r="M91" s="15" t="inlineStr">
        <is>
          <t>Prof. Hoot + Leo + score strip</t>
        </is>
      </c>
      <c r="N91" s="15" t="inlineStr">
        <is>
          <t>Thinking skill: observation</t>
        </is>
      </c>
      <c r="O91" s="15" t="inlineStr">
        <is>
          <t>Build first: jungle</t>
        </is>
      </c>
      <c r="P91" s="15" t="inlineStr">
        <is>
          <t>P1</t>
        </is>
      </c>
      <c r="Q91" s="15" t="inlineStr">
        <is>
          <t>Idea</t>
        </is>
      </c>
      <c r="R91" s="48">
        <f>INDEX('Start Here'!$B$10:$B$16,WEEKDAY(C91,2))</f>
        <v/>
      </c>
      <c r="S91" s="48">
        <f>MOD(R91+'Start Here'!$B$6/24,1)</f>
        <v/>
      </c>
      <c r="T91" s="15" t="n"/>
      <c r="U91" s="15" t="n"/>
      <c r="V91" s="15" t="n"/>
      <c r="W91" s="15" t="n"/>
      <c r="X91" s="20" t="n"/>
      <c r="Y91" s="15" t="n"/>
    </row>
    <row r="92">
      <c r="A92" s="15" t="n">
        <v>91</v>
      </c>
      <c r="B92" s="16">
        <f>INT((A92-1)/7)+1</f>
        <v/>
      </c>
      <c r="C92" s="47">
        <f>'Start Here'!$B$5+A92-1</f>
        <v/>
      </c>
      <c r="D92" s="16">
        <f>TEXT(C92,"ddd")</f>
        <v/>
      </c>
      <c r="E92" s="15" t="inlineStr">
        <is>
          <t>Song Sunday</t>
        </is>
      </c>
      <c r="F92" s="26" t="inlineStr">
        <is>
          <t>🎵 Educational Songs</t>
        </is>
      </c>
      <c r="G92" s="15" t="n">
        <v>13</v>
      </c>
      <c r="H92" s="15" t="inlineStr">
        <is>
          <t>Shapes and Numbers Song</t>
        </is>
      </c>
      <c r="I92" s="15" t="inlineStr">
        <is>
          <t>Shapes and Numbers Song 🎵 | Kids Songs | Tiny Sparks</t>
        </is>
      </c>
      <c r="J92" s="15" t="inlineStr">
        <is>
          <t>3–5</t>
        </is>
      </c>
      <c r="K92" s="15" t="inlineStr">
        <is>
          <t>Long 16:9 + Short cut</t>
        </is>
      </c>
      <c r="L92" s="15" t="inlineStr">
        <is>
          <t>2–3 min (Short: 45 s chorus)</t>
        </is>
      </c>
      <c r="M92" s="15" t="inlineStr">
        <is>
          <t>Mila sings, all dance</t>
        </is>
      </c>
      <c r="N92" s="15" t="inlineStr">
        <is>
          <t>Sing &amp; learn: Shapes and Numbers</t>
        </is>
      </c>
      <c r="O92" s="15" t="inlineStr">
        <is>
          <t>Yes</t>
        </is>
      </c>
      <c r="P92" s="15" t="inlineStr">
        <is>
          <t>P1</t>
        </is>
      </c>
      <c r="Q92" s="15" t="inlineStr">
        <is>
          <t>Idea</t>
        </is>
      </c>
      <c r="R92" s="48">
        <f>INDEX('Start Here'!$B$10:$B$16,WEEKDAY(C92,2))</f>
        <v/>
      </c>
      <c r="S92" s="48">
        <f>MOD(R92+'Start Here'!$B$6/24,1)</f>
        <v/>
      </c>
      <c r="T92" s="15" t="n"/>
      <c r="U92" s="15" t="n"/>
      <c r="V92" s="15" t="n"/>
      <c r="W92" s="15" t="n"/>
      <c r="X92" s="20" t="n"/>
      <c r="Y92" s="15" t="n"/>
    </row>
    <row r="93">
      <c r="A93" s="15" t="n">
        <v>92</v>
      </c>
      <c r="B93" s="16">
        <f>INT((A93-1)/7)+1</f>
        <v/>
      </c>
      <c r="C93" s="47">
        <f>'Start Here'!$B$5+A93-1</f>
        <v/>
      </c>
      <c r="D93" s="16">
        <f>TEXT(C93,"ddd")</f>
        <v/>
      </c>
      <c r="E93" s="15" t="inlineStr">
        <is>
          <t>Story Monday</t>
        </is>
      </c>
      <c r="F93" s="27" t="inlineStr">
        <is>
          <t>📚 Moral Stories</t>
        </is>
      </c>
      <c r="G93" s="15" t="n">
        <v>7</v>
      </c>
      <c r="H93" s="15" t="inlineStr">
        <is>
          <t>The Fox Who Learned Honesty</t>
        </is>
      </c>
      <c r="I93" s="15" t="inlineStr">
        <is>
          <t>The Fox Who Learned Honesty 📚 | Moral Stories for Kids | Tiny Sparks</t>
        </is>
      </c>
      <c r="J93" s="15" t="inlineStr">
        <is>
          <t>3–5</t>
        </is>
      </c>
      <c r="K93" s="15" t="inlineStr">
        <is>
          <t>Long 16:9 + Short teaser</t>
        </is>
      </c>
      <c r="L93" s="15" t="inlineStr">
        <is>
          <t>3–5 min (Short: 50 s)</t>
        </is>
      </c>
      <c r="M93" s="15" t="inlineStr">
        <is>
          <t>narrator + guest animals / Mila &amp; Leo</t>
        </is>
      </c>
      <c r="N93" s="15" t="inlineStr">
        <is>
          <t>Value: honesty</t>
        </is>
      </c>
      <c r="O93" s="15" t="inlineStr">
        <is>
          <t>Yes</t>
        </is>
      </c>
      <c r="P93" s="15" t="inlineStr">
        <is>
          <t>P2</t>
        </is>
      </c>
      <c r="Q93" s="15" t="inlineStr">
        <is>
          <t>Idea</t>
        </is>
      </c>
      <c r="R93" s="48">
        <f>INDEX('Start Here'!$B$10:$B$16,WEEKDAY(C93,2))</f>
        <v/>
      </c>
      <c r="S93" s="48">
        <f>MOD(R93+'Start Here'!$B$6/24,1)</f>
        <v/>
      </c>
      <c r="T93" s="15" t="n"/>
      <c r="U93" s="15" t="n"/>
      <c r="V93" s="15" t="n"/>
      <c r="W93" s="15" t="n"/>
      <c r="X93" s="20" t="n"/>
      <c r="Y93" s="15" t="n"/>
    </row>
    <row r="94">
      <c r="A94" s="15" t="n">
        <v>93</v>
      </c>
      <c r="B94" s="16">
        <f>INT((A94-1)/7)+1</f>
        <v/>
      </c>
      <c r="C94" s="47">
        <f>'Start Here'!$B$5+A94-1</f>
        <v/>
      </c>
      <c r="D94" s="16">
        <f>TEXT(C94,"ddd")</f>
        <v/>
      </c>
      <c r="E94" s="15" t="inlineStr">
        <is>
          <t>Math Tuesday</t>
        </is>
      </c>
      <c r="F94" s="21" t="inlineStr">
        <is>
          <t>🔢 Numbers &amp; Math</t>
        </is>
      </c>
      <c r="G94" s="15" t="n">
        <v>14</v>
      </c>
      <c r="H94" s="15" t="inlineStr">
        <is>
          <t>Learn Number 4</t>
        </is>
      </c>
      <c r="I94" s="15" t="inlineStr">
        <is>
          <t>Learn Number 4 🔢 | Learn Math for Kids | Tiny Sparks</t>
        </is>
      </c>
      <c r="J94" s="15" t="inlineStr">
        <is>
          <t>3–5</t>
        </is>
      </c>
      <c r="K94" s="15" t="inlineStr">
        <is>
          <t>Short 9:16</t>
        </is>
      </c>
      <c r="L94" s="15" t="inlineStr">
        <is>
          <t>45–60 s</t>
        </is>
      </c>
      <c r="M94" s="15" t="inlineStr">
        <is>
          <t>Bobo + Mila (counting fingers)</t>
        </is>
      </c>
      <c r="N94" s="15" t="inlineStr">
        <is>
          <t>Math: Learn Number 4</t>
        </is>
      </c>
      <c r="O94" s="15" t="inlineStr">
        <is>
          <t>Yes</t>
        </is>
      </c>
      <c r="P94" s="15" t="inlineStr">
        <is>
          <t>P2</t>
        </is>
      </c>
      <c r="Q94" s="15" t="inlineStr">
        <is>
          <t>Idea</t>
        </is>
      </c>
      <c r="R94" s="48">
        <f>INDEX('Start Here'!$B$10:$B$16,WEEKDAY(C94,2))</f>
        <v/>
      </c>
      <c r="S94" s="48">
        <f>MOD(R94+'Start Here'!$B$6/24,1)</f>
        <v/>
      </c>
      <c r="T94" s="15" t="n"/>
      <c r="U94" s="15" t="n"/>
      <c r="V94" s="15" t="n"/>
      <c r="W94" s="15" t="n"/>
      <c r="X94" s="20" t="n"/>
      <c r="Y94" s="15" t="n"/>
    </row>
    <row r="95">
      <c r="A95" s="15" t="n">
        <v>94</v>
      </c>
      <c r="B95" s="16">
        <f>INT((A95-1)/7)+1</f>
        <v/>
      </c>
      <c r="C95" s="47">
        <f>'Start Here'!$B$5+A95-1</f>
        <v/>
      </c>
      <c r="D95" s="16">
        <f>TEXT(C95,"ddd")</f>
        <v/>
      </c>
      <c r="E95" s="15" t="inlineStr">
        <is>
          <t>Word Wednesday</t>
        </is>
      </c>
      <c r="F95" s="22" t="inlineStr">
        <is>
          <t>🔤 English/French Words</t>
        </is>
      </c>
      <c r="G95" s="15" t="n">
        <v>14</v>
      </c>
      <c r="H95" s="15" t="inlineStr">
        <is>
          <t>Insects English/French</t>
        </is>
      </c>
      <c r="I95" s="15" t="inlineStr">
        <is>
          <t>Insects English/French 🔤 | Kids Vocabulary | Tiny Sparks</t>
        </is>
      </c>
      <c r="J95" s="15" t="inlineStr">
        <is>
          <t>3–5</t>
        </is>
      </c>
      <c r="K95" s="15" t="inlineStr">
        <is>
          <t>Short 9:16</t>
        </is>
      </c>
      <c r="L95" s="15" t="inlineStr">
        <is>
          <t>45–60 s</t>
        </is>
      </c>
      <c r="M95" s="15" t="inlineStr">
        <is>
          <t>Mila + French narrator</t>
        </is>
      </c>
      <c r="N95" s="15" t="inlineStr">
        <is>
          <t>Vocabulary EN→FR: Insects</t>
        </is>
      </c>
      <c r="O95" s="15" t="inlineStr">
        <is>
          <t>Build first: insects</t>
        </is>
      </c>
      <c r="P95" s="15" t="inlineStr">
        <is>
          <t>P2</t>
        </is>
      </c>
      <c r="Q95" s="15" t="inlineStr">
        <is>
          <t>Idea</t>
        </is>
      </c>
      <c r="R95" s="48">
        <f>INDEX('Start Here'!$B$10:$B$16,WEEKDAY(C95,2))</f>
        <v/>
      </c>
      <c r="S95" s="48">
        <f>MOD(R95+'Start Here'!$B$6/24,1)</f>
        <v/>
      </c>
      <c r="T95" s="15" t="n"/>
      <c r="U95" s="15" t="n"/>
      <c r="V95" s="15" t="n"/>
      <c r="W95" s="15" t="n"/>
      <c r="X95" s="20" t="n"/>
      <c r="Y95" s="15" t="n"/>
    </row>
    <row r="96">
      <c r="A96" s="15" t="n">
        <v>95</v>
      </c>
      <c r="B96" s="16">
        <f>INT((A96-1)/7)+1</f>
        <v/>
      </c>
      <c r="C96" s="47">
        <f>'Start Here'!$B$5+A96-1</f>
        <v/>
      </c>
      <c r="D96" s="16">
        <f>TEXT(C96,"ddd")</f>
        <v/>
      </c>
      <c r="E96" s="15" t="inlineStr">
        <is>
          <t>Animal Thursday</t>
        </is>
      </c>
      <c r="F96" s="23" t="inlineStr">
        <is>
          <t>🦁 Animal Stories</t>
        </is>
      </c>
      <c r="G96" s="15" t="n">
        <v>14</v>
      </c>
      <c r="H96" s="15" t="inlineStr">
        <is>
          <t>The Elephant Who Wanted to Fly</t>
        </is>
      </c>
      <c r="I96" s="15" t="inlineStr">
        <is>
          <t>The Elephant Who Wanted to Fly 🦁 | Animal Stories for Kids | Tiny Sparks</t>
        </is>
      </c>
      <c r="J96" s="15" t="inlineStr">
        <is>
          <t>3–5</t>
        </is>
      </c>
      <c r="K96" s="15" t="inlineStr">
        <is>
          <t>Long 16:9 + Short teaser</t>
        </is>
      </c>
      <c r="L96" s="15" t="inlineStr">
        <is>
          <t>3–5 min (Short: 50 s)</t>
        </is>
      </c>
      <c r="M96" s="15" t="inlineStr">
        <is>
          <t>guest animal(s) + Bobo</t>
        </is>
      </c>
      <c r="N96" s="15" t="inlineStr">
        <is>
          <t>Story + 3 true animal facts; value: friendship</t>
        </is>
      </c>
      <c r="O96" s="15" t="inlineStr">
        <is>
          <t>Build first: elephant</t>
        </is>
      </c>
      <c r="P96" s="15" t="inlineStr">
        <is>
          <t>P2</t>
        </is>
      </c>
      <c r="Q96" s="15" t="inlineStr">
        <is>
          <t>Idea</t>
        </is>
      </c>
      <c r="R96" s="48">
        <f>INDEX('Start Here'!$B$10:$B$16,WEEKDAY(C96,2))</f>
        <v/>
      </c>
      <c r="S96" s="48">
        <f>MOD(R96+'Start Here'!$B$6/24,1)</f>
        <v/>
      </c>
      <c r="T96" s="15" t="n"/>
      <c r="U96" s="15" t="n"/>
      <c r="V96" s="15" t="n"/>
      <c r="W96" s="15" t="n"/>
      <c r="X96" s="20" t="n"/>
      <c r="Y96" s="15" t="n"/>
    </row>
    <row r="97">
      <c r="A97" s="15" t="n">
        <v>96</v>
      </c>
      <c r="B97" s="16">
        <f>INT((A97-1)/7)+1</f>
        <v/>
      </c>
      <c r="C97" s="47">
        <f>'Start Here'!$B$5+A97-1</f>
        <v/>
      </c>
      <c r="D97" s="16">
        <f>TEXT(C97,"ddd")</f>
        <v/>
      </c>
      <c r="E97" s="15" t="inlineStr">
        <is>
          <t>Science Friday</t>
        </is>
      </c>
      <c r="F97" s="24" t="inlineStr">
        <is>
          <t>🚀 Science for Kids</t>
        </is>
      </c>
      <c r="G97" s="15" t="n">
        <v>14</v>
      </c>
      <c r="H97" s="15" t="inlineStr">
        <is>
          <t>What Is a Tornado?</t>
        </is>
      </c>
      <c r="I97" s="15" t="inlineStr">
        <is>
          <t>What Is a Tornado? 🚀 | Science for Kids | Tiny Sparks</t>
        </is>
      </c>
      <c r="J97" s="15" t="inlineStr">
        <is>
          <t>6–8</t>
        </is>
      </c>
      <c r="K97" s="15" t="inlineStr">
        <is>
          <t>Short 9:16</t>
        </is>
      </c>
      <c r="L97" s="15" t="inlineStr">
        <is>
          <t>45–60 s</t>
        </is>
      </c>
      <c r="M97" s="15" t="inlineStr">
        <is>
          <t>Prof. Hoot + Leo (wrong guess) + Mila</t>
        </is>
      </c>
      <c r="N97" s="15" t="inlineStr">
        <is>
          <t>Answer simply: What Is a Tornado?</t>
        </is>
      </c>
      <c r="O97" s="15" t="inlineStr">
        <is>
          <t>Yes</t>
        </is>
      </c>
      <c r="P97" s="15" t="inlineStr">
        <is>
          <t>P2</t>
        </is>
      </c>
      <c r="Q97" s="15" t="inlineStr">
        <is>
          <t>Idea</t>
        </is>
      </c>
      <c r="R97" s="48">
        <f>INDEX('Start Here'!$B$10:$B$16,WEEKDAY(C97,2))</f>
        <v/>
      </c>
      <c r="S97" s="48">
        <f>MOD(R97+'Start Here'!$B$6/24,1)</f>
        <v/>
      </c>
      <c r="T97" s="15" t="n"/>
      <c r="U97" s="15" t="n"/>
      <c r="V97" s="15" t="n"/>
      <c r="W97" s="15" t="n"/>
      <c r="X97" s="20" t="n"/>
      <c r="Y97" s="15" t="n"/>
    </row>
    <row r="98">
      <c r="A98" s="15" t="n">
        <v>97</v>
      </c>
      <c r="B98" s="16">
        <f>INT((A98-1)/7)+1</f>
        <v/>
      </c>
      <c r="C98" s="47">
        <f>'Start Here'!$B$5+A98-1</f>
        <v/>
      </c>
      <c r="D98" s="16">
        <f>TEXT(C98,"ddd")</f>
        <v/>
      </c>
      <c r="E98" s="15" t="inlineStr">
        <is>
          <t>Puzzle Saturday</t>
        </is>
      </c>
      <c r="F98" s="25" t="inlineStr">
        <is>
          <t>🧩 Puzzles &amp; Problem-Solving</t>
        </is>
      </c>
      <c r="G98" s="15" t="n">
        <v>14</v>
      </c>
      <c r="H98" s="15" t="inlineStr">
        <is>
          <t>Spot the Difference: Farm</t>
        </is>
      </c>
      <c r="I98" s="15" t="inlineStr">
        <is>
          <t>Spot the Difference: Farm 🧩 | Brain Games for Kids | Tiny Sparks</t>
        </is>
      </c>
      <c r="J98" s="15" t="inlineStr">
        <is>
          <t>3–5</t>
        </is>
      </c>
      <c r="K98" s="15" t="inlineStr">
        <is>
          <t>Short 9:16</t>
        </is>
      </c>
      <c r="L98" s="15" t="inlineStr">
        <is>
          <t>45–60 s</t>
        </is>
      </c>
      <c r="M98" s="15" t="inlineStr">
        <is>
          <t>Prof. Hoot + Leo + score strip</t>
        </is>
      </c>
      <c r="N98" s="15" t="inlineStr">
        <is>
          <t>Thinking skill: observation</t>
        </is>
      </c>
      <c r="O98" s="15" t="inlineStr">
        <is>
          <t>Yes</t>
        </is>
      </c>
      <c r="P98" s="15" t="inlineStr">
        <is>
          <t>P2</t>
        </is>
      </c>
      <c r="Q98" s="15" t="inlineStr">
        <is>
          <t>Idea</t>
        </is>
      </c>
      <c r="R98" s="48">
        <f>INDEX('Start Here'!$B$10:$B$16,WEEKDAY(C98,2))</f>
        <v/>
      </c>
      <c r="S98" s="48">
        <f>MOD(R98+'Start Here'!$B$6/24,1)</f>
        <v/>
      </c>
      <c r="T98" s="15" t="n"/>
      <c r="U98" s="15" t="n"/>
      <c r="V98" s="15" t="n"/>
      <c r="W98" s="15" t="n"/>
      <c r="X98" s="20" t="n"/>
      <c r="Y98" s="15" t="n"/>
    </row>
    <row r="99">
      <c r="A99" s="15" t="n">
        <v>98</v>
      </c>
      <c r="B99" s="16">
        <f>INT((A99-1)/7)+1</f>
        <v/>
      </c>
      <c r="C99" s="47">
        <f>'Start Here'!$B$5+A99-1</f>
        <v/>
      </c>
      <c r="D99" s="16">
        <f>TEXT(C99,"ddd")</f>
        <v/>
      </c>
      <c r="E99" s="15" t="inlineStr">
        <is>
          <t>Song Sunday</t>
        </is>
      </c>
      <c r="F99" s="26" t="inlineStr">
        <is>
          <t>🎵 Educational Songs</t>
        </is>
      </c>
      <c r="G99" s="15" t="n">
        <v>14</v>
      </c>
      <c r="H99" s="15" t="inlineStr">
        <is>
          <t>Greater or Less Song</t>
        </is>
      </c>
      <c r="I99" s="15" t="inlineStr">
        <is>
          <t>Greater or Less Song 🎵 | Kids Songs | Tiny Sparks</t>
        </is>
      </c>
      <c r="J99" s="15" t="inlineStr">
        <is>
          <t>6–8</t>
        </is>
      </c>
      <c r="K99" s="15" t="inlineStr">
        <is>
          <t>Long 16:9 + Short cut</t>
        </is>
      </c>
      <c r="L99" s="15" t="inlineStr">
        <is>
          <t>2–3 min (Short: 45 s chorus)</t>
        </is>
      </c>
      <c r="M99" s="15" t="inlineStr">
        <is>
          <t>Mila sings, all dance</t>
        </is>
      </c>
      <c r="N99" s="15" t="inlineStr">
        <is>
          <t>Sing &amp; learn: Greater or Less</t>
        </is>
      </c>
      <c r="O99" s="15" t="inlineStr">
        <is>
          <t>Yes</t>
        </is>
      </c>
      <c r="P99" s="15" t="inlineStr">
        <is>
          <t>P2</t>
        </is>
      </c>
      <c r="Q99" s="15" t="inlineStr">
        <is>
          <t>Idea</t>
        </is>
      </c>
      <c r="R99" s="48">
        <f>INDEX('Start Here'!$B$10:$B$16,WEEKDAY(C99,2))</f>
        <v/>
      </c>
      <c r="S99" s="48">
        <f>MOD(R99+'Start Here'!$B$6/24,1)</f>
        <v/>
      </c>
      <c r="T99" s="15" t="n"/>
      <c r="U99" s="15" t="n"/>
      <c r="V99" s="15" t="n"/>
      <c r="W99" s="15" t="n"/>
      <c r="X99" s="20" t="n"/>
      <c r="Y99" s="15" t="n"/>
    </row>
    <row r="100">
      <c r="A100" s="15" t="n">
        <v>99</v>
      </c>
      <c r="B100" s="16">
        <f>INT((A100-1)/7)+1</f>
        <v/>
      </c>
      <c r="C100" s="47">
        <f>'Start Here'!$B$5+A100-1</f>
        <v/>
      </c>
      <c r="D100" s="16">
        <f>TEXT(C100,"ddd")</f>
        <v/>
      </c>
      <c r="E100" s="15" t="inlineStr">
        <is>
          <t>Story Monday</t>
        </is>
      </c>
      <c r="F100" s="18" t="inlineStr">
        <is>
          <t>🧠 Educational Stories</t>
        </is>
      </c>
      <c r="G100" s="15" t="n">
        <v>8</v>
      </c>
      <c r="H100" s="15" t="inlineStr">
        <is>
          <t>Sara Learns Why Honesty Matters</t>
        </is>
      </c>
      <c r="I100" s="15" t="inlineStr">
        <is>
          <t>Mila Learns Why Honesty Matters 🧠 | Kids Stories | Tiny Sparks</t>
        </is>
      </c>
      <c r="J100" s="15" t="inlineStr">
        <is>
          <t>3–5</t>
        </is>
      </c>
      <c r="K100" s="15" t="inlineStr">
        <is>
          <t>Long 16:9 + Short teaser</t>
        </is>
      </c>
      <c r="L100" s="15" t="inlineStr">
        <is>
          <t>3–5 min (Short: 50 s)</t>
        </is>
      </c>
      <c r="M100" s="15" t="inlineStr">
        <is>
          <t>Mila (lead) · Mila, Leo, Bobo + narrator</t>
        </is>
      </c>
      <c r="N100" s="15" t="inlineStr">
        <is>
          <t>Life skill: Honesty Matters</t>
        </is>
      </c>
      <c r="O100" s="15" t="inlineStr">
        <is>
          <t>Yes</t>
        </is>
      </c>
      <c r="P100" s="15" t="inlineStr">
        <is>
          <t>P2</t>
        </is>
      </c>
      <c r="Q100" s="15" t="inlineStr">
        <is>
          <t>Idea</t>
        </is>
      </c>
      <c r="R100" s="48">
        <f>INDEX('Start Here'!$B$10:$B$16,WEEKDAY(C100,2))</f>
        <v/>
      </c>
      <c r="S100" s="48">
        <f>MOD(R100+'Start Here'!$B$6/24,1)</f>
        <v/>
      </c>
      <c r="T100" s="15" t="n"/>
      <c r="U100" s="15" t="n"/>
      <c r="V100" s="15" t="n"/>
      <c r="W100" s="15" t="n"/>
      <c r="X100" s="20" t="n"/>
      <c r="Y100" s="15" t="n"/>
    </row>
    <row r="101">
      <c r="A101" s="15" t="n">
        <v>100</v>
      </c>
      <c r="B101" s="16">
        <f>INT((A101-1)/7)+1</f>
        <v/>
      </c>
      <c r="C101" s="47">
        <f>'Start Here'!$B$5+A101-1</f>
        <v/>
      </c>
      <c r="D101" s="16">
        <f>TEXT(C101,"ddd")</f>
        <v/>
      </c>
      <c r="E101" s="15" t="inlineStr">
        <is>
          <t>Math Tuesday</t>
        </is>
      </c>
      <c r="F101" s="21" t="inlineStr">
        <is>
          <t>🔢 Numbers &amp; Math</t>
        </is>
      </c>
      <c r="G101" s="15" t="n">
        <v>15</v>
      </c>
      <c r="H101" s="15" t="inlineStr">
        <is>
          <t>Learn Number 5</t>
        </is>
      </c>
      <c r="I101" s="15" t="inlineStr">
        <is>
          <t>Learn Number 5 🔢 | Learn Math for Kids | Tiny Sparks</t>
        </is>
      </c>
      <c r="J101" s="15" t="inlineStr">
        <is>
          <t>3–5</t>
        </is>
      </c>
      <c r="K101" s="15" t="inlineStr">
        <is>
          <t>Short 9:16</t>
        </is>
      </c>
      <c r="L101" s="15" t="inlineStr">
        <is>
          <t>45–60 s</t>
        </is>
      </c>
      <c r="M101" s="15" t="inlineStr">
        <is>
          <t>Bobo + Mila (counting fingers)</t>
        </is>
      </c>
      <c r="N101" s="15" t="inlineStr">
        <is>
          <t>Math: Learn Number 5</t>
        </is>
      </c>
      <c r="O101" s="15" t="inlineStr">
        <is>
          <t>Yes</t>
        </is>
      </c>
      <c r="P101" s="15" t="inlineStr">
        <is>
          <t>P2</t>
        </is>
      </c>
      <c r="Q101" s="15" t="inlineStr">
        <is>
          <t>Idea</t>
        </is>
      </c>
      <c r="R101" s="48">
        <f>INDEX('Start Here'!$B$10:$B$16,WEEKDAY(C101,2))</f>
        <v/>
      </c>
      <c r="S101" s="48">
        <f>MOD(R101+'Start Here'!$B$6/24,1)</f>
        <v/>
      </c>
      <c r="T101" s="15" t="n"/>
      <c r="U101" s="15" t="n"/>
      <c r="V101" s="15" t="n"/>
      <c r="W101" s="15" t="n"/>
      <c r="X101" s="20" t="n"/>
      <c r="Y101" s="15" t="n"/>
    </row>
    <row r="102">
      <c r="A102" s="15" t="n">
        <v>101</v>
      </c>
      <c r="B102" s="16">
        <f>INT((A102-1)/7)+1</f>
        <v/>
      </c>
      <c r="C102" s="47">
        <f>'Start Here'!$B$5+A102-1</f>
        <v/>
      </c>
      <c r="D102" s="16">
        <f>TEXT(C102,"ddd")</f>
        <v/>
      </c>
      <c r="E102" s="15" t="inlineStr">
        <is>
          <t>Word Wednesday</t>
        </is>
      </c>
      <c r="F102" s="22" t="inlineStr">
        <is>
          <t>🔤 English/French Words</t>
        </is>
      </c>
      <c r="G102" s="15" t="n">
        <v>15</v>
      </c>
      <c r="H102" s="15" t="inlineStr">
        <is>
          <t>Birds English/French</t>
        </is>
      </c>
      <c r="I102" s="15" t="inlineStr">
        <is>
          <t>Birds English/French 🔤 | Kids Vocabulary | Tiny Sparks</t>
        </is>
      </c>
      <c r="J102" s="15" t="inlineStr">
        <is>
          <t>3–5</t>
        </is>
      </c>
      <c r="K102" s="15" t="inlineStr">
        <is>
          <t>Short 9:16</t>
        </is>
      </c>
      <c r="L102" s="15" t="inlineStr">
        <is>
          <t>45–60 s</t>
        </is>
      </c>
      <c r="M102" s="15" t="inlineStr">
        <is>
          <t>Mila + French narrator</t>
        </is>
      </c>
      <c r="N102" s="15" t="inlineStr">
        <is>
          <t>Vocabulary EN→FR: Birds</t>
        </is>
      </c>
      <c r="O102" s="15" t="inlineStr">
        <is>
          <t>Build first: birds</t>
        </is>
      </c>
      <c r="P102" s="15" t="inlineStr">
        <is>
          <t>P2</t>
        </is>
      </c>
      <c r="Q102" s="15" t="inlineStr">
        <is>
          <t>Idea</t>
        </is>
      </c>
      <c r="R102" s="48">
        <f>INDEX('Start Here'!$B$10:$B$16,WEEKDAY(C102,2))</f>
        <v/>
      </c>
      <c r="S102" s="48">
        <f>MOD(R102+'Start Here'!$B$6/24,1)</f>
        <v/>
      </c>
      <c r="T102" s="15" t="n"/>
      <c r="U102" s="15" t="n"/>
      <c r="V102" s="15" t="n"/>
      <c r="W102" s="15" t="n"/>
      <c r="X102" s="20" t="n"/>
      <c r="Y102" s="15" t="n"/>
    </row>
    <row r="103">
      <c r="A103" s="15" t="n">
        <v>102</v>
      </c>
      <c r="B103" s="16">
        <f>INT((A103-1)/7)+1</f>
        <v/>
      </c>
      <c r="C103" s="47">
        <f>'Start Here'!$B$5+A103-1</f>
        <v/>
      </c>
      <c r="D103" s="16">
        <f>TEXT(C103,"ddd")</f>
        <v/>
      </c>
      <c r="E103" s="15" t="inlineStr">
        <is>
          <t>Animal Thursday</t>
        </is>
      </c>
      <c r="F103" s="23" t="inlineStr">
        <is>
          <t>🦁 Animal Stories</t>
        </is>
      </c>
      <c r="G103" s="15" t="n">
        <v>15</v>
      </c>
      <c r="H103" s="15" t="inlineStr">
        <is>
          <t>The Turtle Who Never Gave Up</t>
        </is>
      </c>
      <c r="I103" s="15" t="inlineStr">
        <is>
          <t>The Turtle Who Never Gave Up 🦁 | Animal Stories for Kids | Tiny Sparks</t>
        </is>
      </c>
      <c r="J103" s="15" t="inlineStr">
        <is>
          <t>3–5</t>
        </is>
      </c>
      <c r="K103" s="15" t="inlineStr">
        <is>
          <t>Long 16:9 + Short teaser</t>
        </is>
      </c>
      <c r="L103" s="15" t="inlineStr">
        <is>
          <t>3–5 min (Short: 50 s)</t>
        </is>
      </c>
      <c r="M103" s="15" t="inlineStr">
        <is>
          <t>guest animal(s) + Bobo</t>
        </is>
      </c>
      <c r="N103" s="15" t="inlineStr">
        <is>
          <t>Story + 3 true animal facts; value: perseverance</t>
        </is>
      </c>
      <c r="O103" s="15" t="inlineStr">
        <is>
          <t>Build first: turtle</t>
        </is>
      </c>
      <c r="P103" s="15" t="inlineStr">
        <is>
          <t>P2</t>
        </is>
      </c>
      <c r="Q103" s="15" t="inlineStr">
        <is>
          <t>Idea</t>
        </is>
      </c>
      <c r="R103" s="48">
        <f>INDEX('Start Here'!$B$10:$B$16,WEEKDAY(C103,2))</f>
        <v/>
      </c>
      <c r="S103" s="48">
        <f>MOD(R103+'Start Here'!$B$6/24,1)</f>
        <v/>
      </c>
      <c r="T103" s="15" t="n"/>
      <c r="U103" s="15" t="n"/>
      <c r="V103" s="15" t="n"/>
      <c r="W103" s="15" t="n"/>
      <c r="X103" s="20" t="n"/>
      <c r="Y103" s="15" t="n"/>
    </row>
    <row r="104">
      <c r="A104" s="15" t="n">
        <v>103</v>
      </c>
      <c r="B104" s="16">
        <f>INT((A104-1)/7)+1</f>
        <v/>
      </c>
      <c r="C104" s="47">
        <f>'Start Here'!$B$5+A104-1</f>
        <v/>
      </c>
      <c r="D104" s="16">
        <f>TEXT(C104,"ddd")</f>
        <v/>
      </c>
      <c r="E104" s="15" t="inlineStr">
        <is>
          <t>Science Friday</t>
        </is>
      </c>
      <c r="F104" s="24" t="inlineStr">
        <is>
          <t>🚀 Science for Kids</t>
        </is>
      </c>
      <c r="G104" s="15" t="n">
        <v>15</v>
      </c>
      <c r="H104" s="15" t="inlineStr">
        <is>
          <t>What Is a Hurricane?</t>
        </is>
      </c>
      <c r="I104" s="15" t="inlineStr">
        <is>
          <t>What Is a Hurricane? 🚀 | Science for Kids | Tiny Sparks</t>
        </is>
      </c>
      <c r="J104" s="15" t="inlineStr">
        <is>
          <t>6–8</t>
        </is>
      </c>
      <c r="K104" s="15" t="inlineStr">
        <is>
          <t>Short 9:16</t>
        </is>
      </c>
      <c r="L104" s="15" t="inlineStr">
        <is>
          <t>45–60 s</t>
        </is>
      </c>
      <c r="M104" s="15" t="inlineStr">
        <is>
          <t>Prof. Hoot + Leo (wrong guess) + Mila</t>
        </is>
      </c>
      <c r="N104" s="15" t="inlineStr">
        <is>
          <t>Answer simply: What Is a Hurricane?</t>
        </is>
      </c>
      <c r="O104" s="15" t="inlineStr">
        <is>
          <t>Yes</t>
        </is>
      </c>
      <c r="P104" s="15" t="inlineStr">
        <is>
          <t>P2</t>
        </is>
      </c>
      <c r="Q104" s="15" t="inlineStr">
        <is>
          <t>Idea</t>
        </is>
      </c>
      <c r="R104" s="48">
        <f>INDEX('Start Here'!$B$10:$B$16,WEEKDAY(C104,2))</f>
        <v/>
      </c>
      <c r="S104" s="48">
        <f>MOD(R104+'Start Here'!$B$6/24,1)</f>
        <v/>
      </c>
      <c r="T104" s="15" t="n"/>
      <c r="U104" s="15" t="n"/>
      <c r="V104" s="15" t="n"/>
      <c r="W104" s="15" t="n"/>
      <c r="X104" s="20" t="n"/>
      <c r="Y104" s="15" t="n"/>
    </row>
    <row r="105">
      <c r="A105" s="15" t="n">
        <v>104</v>
      </c>
      <c r="B105" s="16">
        <f>INT((A105-1)/7)+1</f>
        <v/>
      </c>
      <c r="C105" s="47">
        <f>'Start Here'!$B$5+A105-1</f>
        <v/>
      </c>
      <c r="D105" s="16">
        <f>TEXT(C105,"ddd")</f>
        <v/>
      </c>
      <c r="E105" s="15" t="inlineStr">
        <is>
          <t>Puzzle Saturday</t>
        </is>
      </c>
      <c r="F105" s="25" t="inlineStr">
        <is>
          <t>🧩 Puzzles &amp; Problem-Solving</t>
        </is>
      </c>
      <c r="G105" s="15" t="n">
        <v>15</v>
      </c>
      <c r="H105" s="15" t="inlineStr">
        <is>
          <t>Spot the Difference: School</t>
        </is>
      </c>
      <c r="I105" s="15" t="inlineStr">
        <is>
          <t>Spot the Difference: School 🧩 | Brain Games for Kids | Tiny Sparks</t>
        </is>
      </c>
      <c r="J105" s="15" t="inlineStr">
        <is>
          <t>3–5</t>
        </is>
      </c>
      <c r="K105" s="15" t="inlineStr">
        <is>
          <t>Short 9:16</t>
        </is>
      </c>
      <c r="L105" s="15" t="inlineStr">
        <is>
          <t>45–60 s</t>
        </is>
      </c>
      <c r="M105" s="15" t="inlineStr">
        <is>
          <t>Prof. Hoot + Leo + score strip</t>
        </is>
      </c>
      <c r="N105" s="15" t="inlineStr">
        <is>
          <t>Thinking skill: observation</t>
        </is>
      </c>
      <c r="O105" s="15" t="inlineStr">
        <is>
          <t>Yes</t>
        </is>
      </c>
      <c r="P105" s="15" t="inlineStr">
        <is>
          <t>P2</t>
        </is>
      </c>
      <c r="Q105" s="15" t="inlineStr">
        <is>
          <t>Idea</t>
        </is>
      </c>
      <c r="R105" s="48">
        <f>INDEX('Start Here'!$B$10:$B$16,WEEKDAY(C105,2))</f>
        <v/>
      </c>
      <c r="S105" s="48">
        <f>MOD(R105+'Start Here'!$B$6/24,1)</f>
        <v/>
      </c>
      <c r="T105" s="15" t="n"/>
      <c r="U105" s="15" t="n"/>
      <c r="V105" s="15" t="n"/>
      <c r="W105" s="15" t="n"/>
      <c r="X105" s="20" t="n"/>
      <c r="Y105" s="15" t="n"/>
    </row>
    <row r="106">
      <c r="A106" s="15" t="n">
        <v>105</v>
      </c>
      <c r="B106" s="16">
        <f>INT((A106-1)/7)+1</f>
        <v/>
      </c>
      <c r="C106" s="47">
        <f>'Start Here'!$B$5+A106-1</f>
        <v/>
      </c>
      <c r="D106" s="16">
        <f>TEXT(C106,"ddd")</f>
        <v/>
      </c>
      <c r="E106" s="15" t="inlineStr">
        <is>
          <t>Song Sunday</t>
        </is>
      </c>
      <c r="F106" s="26" t="inlineStr">
        <is>
          <t>🎵 Educational Songs</t>
        </is>
      </c>
      <c r="G106" s="15" t="n">
        <v>15</v>
      </c>
      <c r="H106" s="15" t="inlineStr">
        <is>
          <t>Even and Odd Song</t>
        </is>
      </c>
      <c r="I106" s="15" t="inlineStr">
        <is>
          <t>Even and Odd Song 🎵 | Kids Songs | Tiny Sparks</t>
        </is>
      </c>
      <c r="J106" s="15" t="inlineStr">
        <is>
          <t>6–8</t>
        </is>
      </c>
      <c r="K106" s="15" t="inlineStr">
        <is>
          <t>Long 16:9 + Short cut</t>
        </is>
      </c>
      <c r="L106" s="15" t="inlineStr">
        <is>
          <t>2–3 min (Short: 45 s chorus)</t>
        </is>
      </c>
      <c r="M106" s="15" t="inlineStr">
        <is>
          <t>Mila sings, all dance</t>
        </is>
      </c>
      <c r="N106" s="15" t="inlineStr">
        <is>
          <t>Sing &amp; learn: Even and Odd</t>
        </is>
      </c>
      <c r="O106" s="15" t="inlineStr">
        <is>
          <t>Yes</t>
        </is>
      </c>
      <c r="P106" s="15" t="inlineStr">
        <is>
          <t>P2</t>
        </is>
      </c>
      <c r="Q106" s="15" t="inlineStr">
        <is>
          <t>Idea</t>
        </is>
      </c>
      <c r="R106" s="48">
        <f>INDEX('Start Here'!$B$10:$B$16,WEEKDAY(C106,2))</f>
        <v/>
      </c>
      <c r="S106" s="48">
        <f>MOD(R106+'Start Here'!$B$6/24,1)</f>
        <v/>
      </c>
      <c r="T106" s="15" t="n"/>
      <c r="U106" s="15" t="n"/>
      <c r="V106" s="15" t="n"/>
      <c r="W106" s="15" t="n"/>
      <c r="X106" s="20" t="n"/>
      <c r="Y106" s="15" t="n"/>
    </row>
    <row r="107">
      <c r="A107" s="15" t="n">
        <v>106</v>
      </c>
      <c r="B107" s="16">
        <f>INT((A107-1)/7)+1</f>
        <v/>
      </c>
      <c r="C107" s="47">
        <f>'Start Here'!$B$5+A107-1</f>
        <v/>
      </c>
      <c r="D107" s="16">
        <f>TEXT(C107,"ddd")</f>
        <v/>
      </c>
      <c r="E107" s="15" t="inlineStr">
        <is>
          <t>Story Monday</t>
        </is>
      </c>
      <c r="F107" s="27" t="inlineStr">
        <is>
          <t>📚 Moral Stories</t>
        </is>
      </c>
      <c r="G107" s="15" t="n">
        <v>8</v>
      </c>
      <c r="H107" s="15" t="inlineStr">
        <is>
          <t>The Boy Who Wouldn't Say Sorry</t>
        </is>
      </c>
      <c r="I107" s="15" t="inlineStr">
        <is>
          <t>The Boy Who Wouldn't Say Sorry 📚 | Moral Stories for Kids | Tiny Sparks</t>
        </is>
      </c>
      <c r="J107" s="15" t="inlineStr">
        <is>
          <t>3–5</t>
        </is>
      </c>
      <c r="K107" s="15" t="inlineStr">
        <is>
          <t>Long 16:9 + Short teaser</t>
        </is>
      </c>
      <c r="L107" s="15" t="inlineStr">
        <is>
          <t>3–5 min (Short: 50 s)</t>
        </is>
      </c>
      <c r="M107" s="15" t="inlineStr">
        <is>
          <t>narrator + guest animals / Mila &amp; Leo</t>
        </is>
      </c>
      <c r="N107" s="15" t="inlineStr">
        <is>
          <t>Value: saying sorry</t>
        </is>
      </c>
      <c r="O107" s="15" t="inlineStr">
        <is>
          <t>Yes</t>
        </is>
      </c>
      <c r="P107" s="15" t="inlineStr">
        <is>
          <t>P2</t>
        </is>
      </c>
      <c r="Q107" s="15" t="inlineStr">
        <is>
          <t>Idea</t>
        </is>
      </c>
      <c r="R107" s="48">
        <f>INDEX('Start Here'!$B$10:$B$16,WEEKDAY(C107,2))</f>
        <v/>
      </c>
      <c r="S107" s="48">
        <f>MOD(R107+'Start Here'!$B$6/24,1)</f>
        <v/>
      </c>
      <c r="T107" s="15" t="n"/>
      <c r="U107" s="15" t="n"/>
      <c r="V107" s="15" t="n"/>
      <c r="W107" s="15" t="n"/>
      <c r="X107" s="20" t="n"/>
      <c r="Y107" s="15" t="n"/>
    </row>
    <row r="108">
      <c r="A108" s="15" t="n">
        <v>107</v>
      </c>
      <c r="B108" s="16">
        <f>INT((A108-1)/7)+1</f>
        <v/>
      </c>
      <c r="C108" s="47">
        <f>'Start Here'!$B$5+A108-1</f>
        <v/>
      </c>
      <c r="D108" s="16">
        <f>TEXT(C108,"ddd")</f>
        <v/>
      </c>
      <c r="E108" s="15" t="inlineStr">
        <is>
          <t>Math Tuesday</t>
        </is>
      </c>
      <c r="F108" s="21" t="inlineStr">
        <is>
          <t>🔢 Numbers &amp; Math</t>
        </is>
      </c>
      <c r="G108" s="15" t="n">
        <v>16</v>
      </c>
      <c r="H108" s="15" t="inlineStr">
        <is>
          <t>Learn Number 6</t>
        </is>
      </c>
      <c r="I108" s="15" t="inlineStr">
        <is>
          <t>Learn Number 6 🔢 | Learn Math for Kids | Tiny Sparks</t>
        </is>
      </c>
      <c r="J108" s="15" t="inlineStr">
        <is>
          <t>3–5</t>
        </is>
      </c>
      <c r="K108" s="15" t="inlineStr">
        <is>
          <t>Short 9:16</t>
        </is>
      </c>
      <c r="L108" s="15" t="inlineStr">
        <is>
          <t>45–60 s</t>
        </is>
      </c>
      <c r="M108" s="15" t="inlineStr">
        <is>
          <t>Bobo + Mila (counting fingers)</t>
        </is>
      </c>
      <c r="N108" s="15" t="inlineStr">
        <is>
          <t>Math: Learn Number 6</t>
        </is>
      </c>
      <c r="O108" s="15" t="inlineStr">
        <is>
          <t>Yes</t>
        </is>
      </c>
      <c r="P108" s="15" t="inlineStr">
        <is>
          <t>P2</t>
        </is>
      </c>
      <c r="Q108" s="15" t="inlineStr">
        <is>
          <t>Idea</t>
        </is>
      </c>
      <c r="R108" s="48">
        <f>INDEX('Start Here'!$B$10:$B$16,WEEKDAY(C108,2))</f>
        <v/>
      </c>
      <c r="S108" s="48">
        <f>MOD(R108+'Start Here'!$B$6/24,1)</f>
        <v/>
      </c>
      <c r="T108" s="15" t="n"/>
      <c r="U108" s="15" t="n"/>
      <c r="V108" s="15" t="n"/>
      <c r="W108" s="15" t="n"/>
      <c r="X108" s="20" t="n"/>
      <c r="Y108" s="15" t="n"/>
    </row>
    <row r="109">
      <c r="A109" s="15" t="n">
        <v>108</v>
      </c>
      <c r="B109" s="16">
        <f>INT((A109-1)/7)+1</f>
        <v/>
      </c>
      <c r="C109" s="47">
        <f>'Start Here'!$B$5+A109-1</f>
        <v/>
      </c>
      <c r="D109" s="16">
        <f>TEXT(C109,"ddd")</f>
        <v/>
      </c>
      <c r="E109" s="15" t="inlineStr">
        <is>
          <t>Word Wednesday</t>
        </is>
      </c>
      <c r="F109" s="22" t="inlineStr">
        <is>
          <t>🔤 English/French Words</t>
        </is>
      </c>
      <c r="G109" s="15" t="n">
        <v>16</v>
      </c>
      <c r="H109" s="15" t="inlineStr">
        <is>
          <t>Food English/French</t>
        </is>
      </c>
      <c r="I109" s="15" t="inlineStr">
        <is>
          <t>Food English/French 🔤 | Kids Vocabulary | Tiny Sparks</t>
        </is>
      </c>
      <c r="J109" s="15" t="inlineStr">
        <is>
          <t>3–5</t>
        </is>
      </c>
      <c r="K109" s="15" t="inlineStr">
        <is>
          <t>Short 9:16</t>
        </is>
      </c>
      <c r="L109" s="15" t="inlineStr">
        <is>
          <t>45–60 s</t>
        </is>
      </c>
      <c r="M109" s="15" t="inlineStr">
        <is>
          <t>Mila + French narrator</t>
        </is>
      </c>
      <c r="N109" s="15" t="inlineStr">
        <is>
          <t>Vocabulary EN→FR: Food</t>
        </is>
      </c>
      <c r="O109" s="15" t="inlineStr">
        <is>
          <t>Yes</t>
        </is>
      </c>
      <c r="P109" s="15" t="inlineStr">
        <is>
          <t>P2</t>
        </is>
      </c>
      <c r="Q109" s="15" t="inlineStr">
        <is>
          <t>Idea</t>
        </is>
      </c>
      <c r="R109" s="48">
        <f>INDEX('Start Here'!$B$10:$B$16,WEEKDAY(C109,2))</f>
        <v/>
      </c>
      <c r="S109" s="48">
        <f>MOD(R109+'Start Here'!$B$6/24,1)</f>
        <v/>
      </c>
      <c r="T109" s="15" t="n"/>
      <c r="U109" s="15" t="n"/>
      <c r="V109" s="15" t="n"/>
      <c r="W109" s="15" t="n"/>
      <c r="X109" s="20" t="n"/>
      <c r="Y109" s="15" t="n"/>
    </row>
    <row r="110">
      <c r="A110" s="15" t="n">
        <v>109</v>
      </c>
      <c r="B110" s="16">
        <f>INT((A110-1)/7)+1</f>
        <v/>
      </c>
      <c r="C110" s="47">
        <f>'Start Here'!$B$5+A110-1</f>
        <v/>
      </c>
      <c r="D110" s="16">
        <f>TEXT(C110,"ddd")</f>
        <v/>
      </c>
      <c r="E110" s="15" t="inlineStr">
        <is>
          <t>Animal Thursday</t>
        </is>
      </c>
      <c r="F110" s="23" t="inlineStr">
        <is>
          <t>🦁 Animal Stories</t>
        </is>
      </c>
      <c r="G110" s="15" t="n">
        <v>16</v>
      </c>
      <c r="H110" s="15" t="inlineStr">
        <is>
          <t>The Monkey Who Learned to Share</t>
        </is>
      </c>
      <c r="I110" s="15" t="inlineStr">
        <is>
          <t>The Monkey Who Learned to Share 🦁 | Animal Stories for Kids | Tiny Sparks</t>
        </is>
      </c>
      <c r="J110" s="15" t="inlineStr">
        <is>
          <t>3–5</t>
        </is>
      </c>
      <c r="K110" s="15" t="inlineStr">
        <is>
          <t>Long 16:9 + Short teaser</t>
        </is>
      </c>
      <c r="L110" s="15" t="inlineStr">
        <is>
          <t>3–5 min (Short: 50 s)</t>
        </is>
      </c>
      <c r="M110" s="15" t="inlineStr">
        <is>
          <t>guest animal(s) + Bobo</t>
        </is>
      </c>
      <c r="N110" s="15" t="inlineStr">
        <is>
          <t>Story + 3 true animal facts; value: sharing</t>
        </is>
      </c>
      <c r="O110" s="15" t="inlineStr">
        <is>
          <t>Build first: monkey</t>
        </is>
      </c>
      <c r="P110" s="15" t="inlineStr">
        <is>
          <t>P2</t>
        </is>
      </c>
      <c r="Q110" s="15" t="inlineStr">
        <is>
          <t>Idea</t>
        </is>
      </c>
      <c r="R110" s="48">
        <f>INDEX('Start Here'!$B$10:$B$16,WEEKDAY(C110,2))</f>
        <v/>
      </c>
      <c r="S110" s="48">
        <f>MOD(R110+'Start Here'!$B$6/24,1)</f>
        <v/>
      </c>
      <c r="T110" s="15" t="n"/>
      <c r="U110" s="15" t="n"/>
      <c r="V110" s="15" t="n"/>
      <c r="W110" s="15" t="n"/>
      <c r="X110" s="20" t="n"/>
      <c r="Y110" s="15" t="n"/>
    </row>
    <row r="111">
      <c r="A111" s="15" t="n">
        <v>110</v>
      </c>
      <c r="B111" s="16">
        <f>INT((A111-1)/7)+1</f>
        <v/>
      </c>
      <c r="C111" s="47">
        <f>'Start Here'!$B$5+A111-1</f>
        <v/>
      </c>
      <c r="D111" s="16">
        <f>TEXT(C111,"ddd")</f>
        <v/>
      </c>
      <c r="E111" s="15" t="inlineStr">
        <is>
          <t>Science Friday</t>
        </is>
      </c>
      <c r="F111" s="24" t="inlineStr">
        <is>
          <t>🚀 Science for Kids</t>
        </is>
      </c>
      <c r="G111" s="15" t="n">
        <v>16</v>
      </c>
      <c r="H111" s="15" t="inlineStr">
        <is>
          <t>Why Does Water Freeze?</t>
        </is>
      </c>
      <c r="I111" s="15" t="inlineStr">
        <is>
          <t>Why Does Water Freeze? 🚀 | Science for Kids | Tiny Sparks</t>
        </is>
      </c>
      <c r="J111" s="15" t="inlineStr">
        <is>
          <t>3–5</t>
        </is>
      </c>
      <c r="K111" s="15" t="inlineStr">
        <is>
          <t>Short 9:16</t>
        </is>
      </c>
      <c r="L111" s="15" t="inlineStr">
        <is>
          <t>45–60 s</t>
        </is>
      </c>
      <c r="M111" s="15" t="inlineStr">
        <is>
          <t>Prof. Hoot + Leo (wrong guess) + Mila</t>
        </is>
      </c>
      <c r="N111" s="15" t="inlineStr">
        <is>
          <t>Answer simply: Why Does Water Freeze?</t>
        </is>
      </c>
      <c r="O111" s="15" t="inlineStr">
        <is>
          <t>Yes</t>
        </is>
      </c>
      <c r="P111" s="15" t="inlineStr">
        <is>
          <t>P2</t>
        </is>
      </c>
      <c r="Q111" s="15" t="inlineStr">
        <is>
          <t>Idea</t>
        </is>
      </c>
      <c r="R111" s="48">
        <f>INDEX('Start Here'!$B$10:$B$16,WEEKDAY(C111,2))</f>
        <v/>
      </c>
      <c r="S111" s="48">
        <f>MOD(R111+'Start Here'!$B$6/24,1)</f>
        <v/>
      </c>
      <c r="T111" s="15" t="n"/>
      <c r="U111" s="15" t="n"/>
      <c r="V111" s="15" t="n"/>
      <c r="W111" s="15" t="n"/>
      <c r="X111" s="20" t="n"/>
      <c r="Y111" s="15" t="n"/>
    </row>
    <row r="112">
      <c r="A112" s="15" t="n">
        <v>111</v>
      </c>
      <c r="B112" s="16">
        <f>INT((A112-1)/7)+1</f>
        <v/>
      </c>
      <c r="C112" s="47">
        <f>'Start Here'!$B$5+A112-1</f>
        <v/>
      </c>
      <c r="D112" s="16">
        <f>TEXT(C112,"ddd")</f>
        <v/>
      </c>
      <c r="E112" s="15" t="inlineStr">
        <is>
          <t>Puzzle Saturday</t>
        </is>
      </c>
      <c r="F112" s="25" t="inlineStr">
        <is>
          <t>🧩 Puzzles &amp; Problem-Solving</t>
        </is>
      </c>
      <c r="G112" s="15" t="n">
        <v>16</v>
      </c>
      <c r="H112" s="15" t="inlineStr">
        <is>
          <t>Spot the Difference: Zoo</t>
        </is>
      </c>
      <c r="I112" s="15" t="inlineStr">
        <is>
          <t>Spot the Difference: Zoo 🧩 | Brain Games for Kids | Tiny Sparks</t>
        </is>
      </c>
      <c r="J112" s="15" t="inlineStr">
        <is>
          <t>3–5</t>
        </is>
      </c>
      <c r="K112" s="15" t="inlineStr">
        <is>
          <t>Short 9:16</t>
        </is>
      </c>
      <c r="L112" s="15" t="inlineStr">
        <is>
          <t>45–60 s</t>
        </is>
      </c>
      <c r="M112" s="15" t="inlineStr">
        <is>
          <t>Prof. Hoot + Leo + score strip</t>
        </is>
      </c>
      <c r="N112" s="15" t="inlineStr">
        <is>
          <t>Thinking skill: observation</t>
        </is>
      </c>
      <c r="O112" s="15" t="inlineStr">
        <is>
          <t>Yes</t>
        </is>
      </c>
      <c r="P112" s="15" t="inlineStr">
        <is>
          <t>P2</t>
        </is>
      </c>
      <c r="Q112" s="15" t="inlineStr">
        <is>
          <t>Idea</t>
        </is>
      </c>
      <c r="R112" s="48">
        <f>INDEX('Start Here'!$B$10:$B$16,WEEKDAY(C112,2))</f>
        <v/>
      </c>
      <c r="S112" s="48">
        <f>MOD(R112+'Start Here'!$B$6/24,1)</f>
        <v/>
      </c>
      <c r="T112" s="15" t="n"/>
      <c r="U112" s="15" t="n"/>
      <c r="V112" s="15" t="n"/>
      <c r="W112" s="15" t="n"/>
      <c r="X112" s="20" t="n"/>
      <c r="Y112" s="15" t="n"/>
    </row>
    <row r="113">
      <c r="A113" s="15" t="n">
        <v>112</v>
      </c>
      <c r="B113" s="16">
        <f>INT((A113-1)/7)+1</f>
        <v/>
      </c>
      <c r="C113" s="47">
        <f>'Start Here'!$B$5+A113-1</f>
        <v/>
      </c>
      <c r="D113" s="16">
        <f>TEXT(C113,"ddd")</f>
        <v/>
      </c>
      <c r="E113" s="15" t="inlineStr">
        <is>
          <t>Song Sunday</t>
        </is>
      </c>
      <c r="F113" s="26" t="inlineStr">
        <is>
          <t>🎵 Educational Songs</t>
        </is>
      </c>
      <c r="G113" s="15" t="n">
        <v>16</v>
      </c>
      <c r="H113" s="15" t="inlineStr">
        <is>
          <t>Skip Counting by 2 Song</t>
        </is>
      </c>
      <c r="I113" s="15" t="inlineStr">
        <is>
          <t>Skip Counting by 2 Song 🎵 | Kids Songs | Tiny Sparks</t>
        </is>
      </c>
      <c r="J113" s="15" t="inlineStr">
        <is>
          <t>6–8</t>
        </is>
      </c>
      <c r="K113" s="15" t="inlineStr">
        <is>
          <t>Long 16:9 + Short cut</t>
        </is>
      </c>
      <c r="L113" s="15" t="inlineStr">
        <is>
          <t>2–3 min (Short: 45 s chorus)</t>
        </is>
      </c>
      <c r="M113" s="15" t="inlineStr">
        <is>
          <t>Mila sings, all dance</t>
        </is>
      </c>
      <c r="N113" s="15" t="inlineStr">
        <is>
          <t>Sing &amp; learn: Skip Counting by 2</t>
        </is>
      </c>
      <c r="O113" s="15" t="inlineStr">
        <is>
          <t>Yes</t>
        </is>
      </c>
      <c r="P113" s="15" t="inlineStr">
        <is>
          <t>P2</t>
        </is>
      </c>
      <c r="Q113" s="15" t="inlineStr">
        <is>
          <t>Idea</t>
        </is>
      </c>
      <c r="R113" s="48">
        <f>INDEX('Start Here'!$B$10:$B$16,WEEKDAY(C113,2))</f>
        <v/>
      </c>
      <c r="S113" s="48">
        <f>MOD(R113+'Start Here'!$B$6/24,1)</f>
        <v/>
      </c>
      <c r="T113" s="15" t="n"/>
      <c r="U113" s="15" t="n"/>
      <c r="V113" s="15" t="n"/>
      <c r="W113" s="15" t="n"/>
      <c r="X113" s="20" t="n"/>
      <c r="Y113" s="15" t="n"/>
    </row>
    <row r="114">
      <c r="A114" s="15" t="n">
        <v>113</v>
      </c>
      <c r="B114" s="16">
        <f>INT((A114-1)/7)+1</f>
        <v/>
      </c>
      <c r="C114" s="47">
        <f>'Start Here'!$B$5+A114-1</f>
        <v/>
      </c>
      <c r="D114" s="16">
        <f>TEXT(C114,"ddd")</f>
        <v/>
      </c>
      <c r="E114" s="15" t="inlineStr">
        <is>
          <t>Story Monday</t>
        </is>
      </c>
      <c r="F114" s="18" t="inlineStr">
        <is>
          <t>🧠 Educational Stories</t>
        </is>
      </c>
      <c r="G114" s="15" t="n">
        <v>9</v>
      </c>
      <c r="H114" s="15" t="inlineStr">
        <is>
          <t>Alex Learns to Follow Instructions</t>
        </is>
      </c>
      <c r="I114" s="15" t="inlineStr">
        <is>
          <t>Leo Learns to Follow Instructions 🧠 | Kids Stories | Tiny Sparks</t>
        </is>
      </c>
      <c r="J114" s="15" t="inlineStr">
        <is>
          <t>3–5</t>
        </is>
      </c>
      <c r="K114" s="15" t="inlineStr">
        <is>
          <t>Long 16:9 + Short teaser</t>
        </is>
      </c>
      <c r="L114" s="15" t="inlineStr">
        <is>
          <t>3–5 min (Short: 50 s)</t>
        </is>
      </c>
      <c r="M114" s="15" t="inlineStr">
        <is>
          <t>Leo (lead) · Mila, Leo, Bobo + narrator</t>
        </is>
      </c>
      <c r="N114" s="15" t="inlineStr">
        <is>
          <t>Life skill: Follow Instructions</t>
        </is>
      </c>
      <c r="O114" s="15" t="inlineStr">
        <is>
          <t>Yes</t>
        </is>
      </c>
      <c r="P114" s="15" t="inlineStr">
        <is>
          <t>P2</t>
        </is>
      </c>
      <c r="Q114" s="15" t="inlineStr">
        <is>
          <t>Idea</t>
        </is>
      </c>
      <c r="R114" s="48">
        <f>INDEX('Start Here'!$B$10:$B$16,WEEKDAY(C114,2))</f>
        <v/>
      </c>
      <c r="S114" s="48">
        <f>MOD(R114+'Start Here'!$B$6/24,1)</f>
        <v/>
      </c>
      <c r="T114" s="15" t="n"/>
      <c r="U114" s="15" t="n"/>
      <c r="V114" s="15" t="n"/>
      <c r="W114" s="15" t="n"/>
      <c r="X114" s="20" t="n"/>
      <c r="Y114" s="15" t="n"/>
    </row>
    <row r="115">
      <c r="A115" s="15" t="n">
        <v>114</v>
      </c>
      <c r="B115" s="16">
        <f>INT((A115-1)/7)+1</f>
        <v/>
      </c>
      <c r="C115" s="47">
        <f>'Start Here'!$B$5+A115-1</f>
        <v/>
      </c>
      <c r="D115" s="16">
        <f>TEXT(C115,"ddd")</f>
        <v/>
      </c>
      <c r="E115" s="15" t="inlineStr">
        <is>
          <t>Math Tuesday</t>
        </is>
      </c>
      <c r="F115" s="21" t="inlineStr">
        <is>
          <t>🔢 Numbers &amp; Math</t>
        </is>
      </c>
      <c r="G115" s="15" t="n">
        <v>17</v>
      </c>
      <c r="H115" s="15" t="inlineStr">
        <is>
          <t>Learn Number 7</t>
        </is>
      </c>
      <c r="I115" s="15" t="inlineStr">
        <is>
          <t>Learn Number 7 🔢 | Learn Math for Kids | Tiny Sparks</t>
        </is>
      </c>
      <c r="J115" s="15" t="inlineStr">
        <is>
          <t>3–5</t>
        </is>
      </c>
      <c r="K115" s="15" t="inlineStr">
        <is>
          <t>Short 9:16</t>
        </is>
      </c>
      <c r="L115" s="15" t="inlineStr">
        <is>
          <t>45–60 s</t>
        </is>
      </c>
      <c r="M115" s="15" t="inlineStr">
        <is>
          <t>Bobo + Mila (counting fingers)</t>
        </is>
      </c>
      <c r="N115" s="15" t="inlineStr">
        <is>
          <t>Math: Learn Number 7</t>
        </is>
      </c>
      <c r="O115" s="15" t="inlineStr">
        <is>
          <t>Yes</t>
        </is>
      </c>
      <c r="P115" s="15" t="inlineStr">
        <is>
          <t>P2</t>
        </is>
      </c>
      <c r="Q115" s="15" t="inlineStr">
        <is>
          <t>Idea</t>
        </is>
      </c>
      <c r="R115" s="48">
        <f>INDEX('Start Here'!$B$10:$B$16,WEEKDAY(C115,2))</f>
        <v/>
      </c>
      <c r="S115" s="48">
        <f>MOD(R115+'Start Here'!$B$6/24,1)</f>
        <v/>
      </c>
      <c r="T115" s="15" t="n"/>
      <c r="U115" s="15" t="n"/>
      <c r="V115" s="15" t="n"/>
      <c r="W115" s="15" t="n"/>
      <c r="X115" s="20" t="n"/>
      <c r="Y115" s="15" t="n"/>
    </row>
    <row r="116">
      <c r="A116" s="15" t="n">
        <v>115</v>
      </c>
      <c r="B116" s="16">
        <f>INT((A116-1)/7)+1</f>
        <v/>
      </c>
      <c r="C116" s="47">
        <f>'Start Here'!$B$5+A116-1</f>
        <v/>
      </c>
      <c r="D116" s="16">
        <f>TEXT(C116,"ddd")</f>
        <v/>
      </c>
      <c r="E116" s="15" t="inlineStr">
        <is>
          <t>Word Wednesday</t>
        </is>
      </c>
      <c r="F116" s="22" t="inlineStr">
        <is>
          <t>🔤 English/French Words</t>
        </is>
      </c>
      <c r="G116" s="15" t="n">
        <v>17</v>
      </c>
      <c r="H116" s="15" t="inlineStr">
        <is>
          <t>Drinks English/French</t>
        </is>
      </c>
      <c r="I116" s="15" t="inlineStr">
        <is>
          <t>Drinks English/French 🔤 | Kids Vocabulary | Tiny Sparks</t>
        </is>
      </c>
      <c r="J116" s="15" t="inlineStr">
        <is>
          <t>3–5</t>
        </is>
      </c>
      <c r="K116" s="15" t="inlineStr">
        <is>
          <t>Short 9:16</t>
        </is>
      </c>
      <c r="L116" s="15" t="inlineStr">
        <is>
          <t>45–60 s</t>
        </is>
      </c>
      <c r="M116" s="15" t="inlineStr">
        <is>
          <t>Mila + French narrator</t>
        </is>
      </c>
      <c r="N116" s="15" t="inlineStr">
        <is>
          <t>Vocabulary EN→FR: Drinks</t>
        </is>
      </c>
      <c r="O116" s="15" t="inlineStr">
        <is>
          <t>Yes</t>
        </is>
      </c>
      <c r="P116" s="15" t="inlineStr">
        <is>
          <t>P2</t>
        </is>
      </c>
      <c r="Q116" s="15" t="inlineStr">
        <is>
          <t>Idea</t>
        </is>
      </c>
      <c r="R116" s="48">
        <f>INDEX('Start Here'!$B$10:$B$16,WEEKDAY(C116,2))</f>
        <v/>
      </c>
      <c r="S116" s="48">
        <f>MOD(R116+'Start Here'!$B$6/24,1)</f>
        <v/>
      </c>
      <c r="T116" s="15" t="n"/>
      <c r="U116" s="15" t="n"/>
      <c r="V116" s="15" t="n"/>
      <c r="W116" s="15" t="n"/>
      <c r="X116" s="20" t="n"/>
      <c r="Y116" s="15" t="n"/>
    </row>
    <row r="117">
      <c r="A117" s="15" t="n">
        <v>116</v>
      </c>
      <c r="B117" s="16">
        <f>INT((A117-1)/7)+1</f>
        <v/>
      </c>
      <c r="C117" s="47">
        <f>'Start Here'!$B$5+A117-1</f>
        <v/>
      </c>
      <c r="D117" s="16">
        <f>TEXT(C117,"ddd")</f>
        <v/>
      </c>
      <c r="E117" s="15" t="inlineStr">
        <is>
          <t>Animal Thursday</t>
        </is>
      </c>
      <c r="F117" s="23" t="inlineStr">
        <is>
          <t>🦁 Animal Stories</t>
        </is>
      </c>
      <c r="G117" s="15" t="n">
        <v>17</v>
      </c>
      <c r="H117" s="15" t="inlineStr">
        <is>
          <t>The Penguin Who Lost His Way</t>
        </is>
      </c>
      <c r="I117" s="15" t="inlineStr">
        <is>
          <t>The Penguin Who Lost His Way 🦁 | Animal Stories for Kids | Tiny Sparks</t>
        </is>
      </c>
      <c r="J117" s="15" t="inlineStr">
        <is>
          <t>3–5</t>
        </is>
      </c>
      <c r="K117" s="15" t="inlineStr">
        <is>
          <t>Long 16:9 + Short teaser</t>
        </is>
      </c>
      <c r="L117" s="15" t="inlineStr">
        <is>
          <t>3–5 min (Short: 50 s)</t>
        </is>
      </c>
      <c r="M117" s="15" t="inlineStr">
        <is>
          <t>guest animal(s) + Bobo</t>
        </is>
      </c>
      <c r="N117" s="15" t="inlineStr">
        <is>
          <t>Story + 3 true animal facts; value: friendship</t>
        </is>
      </c>
      <c r="O117" s="15" t="inlineStr">
        <is>
          <t>Build first: penguin</t>
        </is>
      </c>
      <c r="P117" s="15" t="inlineStr">
        <is>
          <t>P2</t>
        </is>
      </c>
      <c r="Q117" s="15" t="inlineStr">
        <is>
          <t>Idea</t>
        </is>
      </c>
      <c r="R117" s="48">
        <f>INDEX('Start Here'!$B$10:$B$16,WEEKDAY(C117,2))</f>
        <v/>
      </c>
      <c r="S117" s="48">
        <f>MOD(R117+'Start Here'!$B$6/24,1)</f>
        <v/>
      </c>
      <c r="T117" s="15" t="n"/>
      <c r="U117" s="15" t="n"/>
      <c r="V117" s="15" t="n"/>
      <c r="W117" s="15" t="n"/>
      <c r="X117" s="20" t="n"/>
      <c r="Y117" s="15" t="n"/>
    </row>
    <row r="118">
      <c r="A118" s="15" t="n">
        <v>117</v>
      </c>
      <c r="B118" s="16">
        <f>INT((A118-1)/7)+1</f>
        <v/>
      </c>
      <c r="C118" s="47">
        <f>'Start Here'!$B$5+A118-1</f>
        <v/>
      </c>
      <c r="D118" s="16">
        <f>TEXT(C118,"ddd")</f>
        <v/>
      </c>
      <c r="E118" s="15" t="inlineStr">
        <is>
          <t>Science Friday</t>
        </is>
      </c>
      <c r="F118" s="24" t="inlineStr">
        <is>
          <t>🚀 Science for Kids</t>
        </is>
      </c>
      <c r="G118" s="15" t="n">
        <v>17</v>
      </c>
      <c r="H118" s="15" t="inlineStr">
        <is>
          <t>Why Does Ice Float?</t>
        </is>
      </c>
      <c r="I118" s="15" t="inlineStr">
        <is>
          <t>Why Does Ice Float? 🚀 | Science for Kids | Tiny Sparks</t>
        </is>
      </c>
      <c r="J118" s="15" t="inlineStr">
        <is>
          <t>3–5</t>
        </is>
      </c>
      <c r="K118" s="15" t="inlineStr">
        <is>
          <t>Short 9:16</t>
        </is>
      </c>
      <c r="L118" s="15" t="inlineStr">
        <is>
          <t>45–60 s</t>
        </is>
      </c>
      <c r="M118" s="15" t="inlineStr">
        <is>
          <t>Prof. Hoot + Leo (wrong guess) + Mila</t>
        </is>
      </c>
      <c r="N118" s="15" t="inlineStr">
        <is>
          <t>Answer simply: Why Does Ice Float?</t>
        </is>
      </c>
      <c r="O118" s="15" t="inlineStr">
        <is>
          <t>Yes</t>
        </is>
      </c>
      <c r="P118" s="15" t="inlineStr">
        <is>
          <t>P2</t>
        </is>
      </c>
      <c r="Q118" s="15" t="inlineStr">
        <is>
          <t>Idea</t>
        </is>
      </c>
      <c r="R118" s="48">
        <f>INDEX('Start Here'!$B$10:$B$16,WEEKDAY(C118,2))</f>
        <v/>
      </c>
      <c r="S118" s="48">
        <f>MOD(R118+'Start Here'!$B$6/24,1)</f>
        <v/>
      </c>
      <c r="T118" s="15" t="n"/>
      <c r="U118" s="15" t="n"/>
      <c r="V118" s="15" t="n"/>
      <c r="W118" s="15" t="n"/>
      <c r="X118" s="20" t="n"/>
      <c r="Y118" s="15" t="n"/>
    </row>
    <row r="119">
      <c r="A119" s="15" t="n">
        <v>118</v>
      </c>
      <c r="B119" s="16">
        <f>INT((A119-1)/7)+1</f>
        <v/>
      </c>
      <c r="C119" s="47">
        <f>'Start Here'!$B$5+A119-1</f>
        <v/>
      </c>
      <c r="D119" s="16">
        <f>TEXT(C119,"ddd")</f>
        <v/>
      </c>
      <c r="E119" s="15" t="inlineStr">
        <is>
          <t>Puzzle Saturday</t>
        </is>
      </c>
      <c r="F119" s="25" t="inlineStr">
        <is>
          <t>🧩 Puzzles &amp; Problem-Solving</t>
        </is>
      </c>
      <c r="G119" s="15" t="n">
        <v>17</v>
      </c>
      <c r="H119" s="15" t="inlineStr">
        <is>
          <t>Spot the Difference: Space</t>
        </is>
      </c>
      <c r="I119" s="15" t="inlineStr">
        <is>
          <t>Spot the Difference: Space 🧩 | Brain Games for Kids | Tiny Sparks</t>
        </is>
      </c>
      <c r="J119" s="15" t="inlineStr">
        <is>
          <t>6–8</t>
        </is>
      </c>
      <c r="K119" s="15" t="inlineStr">
        <is>
          <t>Short 9:16</t>
        </is>
      </c>
      <c r="L119" s="15" t="inlineStr">
        <is>
          <t>45–60 s</t>
        </is>
      </c>
      <c r="M119" s="15" t="inlineStr">
        <is>
          <t>Prof. Hoot + Leo + score strip</t>
        </is>
      </c>
      <c r="N119" s="15" t="inlineStr">
        <is>
          <t>Thinking skill: observation</t>
        </is>
      </c>
      <c r="O119" s="15" t="inlineStr">
        <is>
          <t>Yes</t>
        </is>
      </c>
      <c r="P119" s="15" t="inlineStr">
        <is>
          <t>P2</t>
        </is>
      </c>
      <c r="Q119" s="15" t="inlineStr">
        <is>
          <t>Idea</t>
        </is>
      </c>
      <c r="R119" s="48">
        <f>INDEX('Start Here'!$B$10:$B$16,WEEKDAY(C119,2))</f>
        <v/>
      </c>
      <c r="S119" s="48">
        <f>MOD(R119+'Start Here'!$B$6/24,1)</f>
        <v/>
      </c>
      <c r="T119" s="15" t="n"/>
      <c r="U119" s="15" t="n"/>
      <c r="V119" s="15" t="n"/>
      <c r="W119" s="15" t="n"/>
      <c r="X119" s="20" t="n"/>
      <c r="Y119" s="15" t="n"/>
    </row>
    <row r="120">
      <c r="A120" s="15" t="n">
        <v>119</v>
      </c>
      <c r="B120" s="16">
        <f>INT((A120-1)/7)+1</f>
        <v/>
      </c>
      <c r="C120" s="47">
        <f>'Start Here'!$B$5+A120-1</f>
        <v/>
      </c>
      <c r="D120" s="16">
        <f>TEXT(C120,"ddd")</f>
        <v/>
      </c>
      <c r="E120" s="15" t="inlineStr">
        <is>
          <t>Song Sunday</t>
        </is>
      </c>
      <c r="F120" s="26" t="inlineStr">
        <is>
          <t>🎵 Educational Songs</t>
        </is>
      </c>
      <c r="G120" s="15" t="n">
        <v>17</v>
      </c>
      <c r="H120" s="15" t="inlineStr">
        <is>
          <t>Skip Counting by 5 Song</t>
        </is>
      </c>
      <c r="I120" s="15" t="inlineStr">
        <is>
          <t>Skip Counting by 5 Song 🎵 | Kids Songs | Tiny Sparks</t>
        </is>
      </c>
      <c r="J120" s="15" t="inlineStr">
        <is>
          <t>6–8</t>
        </is>
      </c>
      <c r="K120" s="15" t="inlineStr">
        <is>
          <t>Long 16:9 + Short cut</t>
        </is>
      </c>
      <c r="L120" s="15" t="inlineStr">
        <is>
          <t>2–3 min (Short: 45 s chorus)</t>
        </is>
      </c>
      <c r="M120" s="15" t="inlineStr">
        <is>
          <t>Mila sings, all dance</t>
        </is>
      </c>
      <c r="N120" s="15" t="inlineStr">
        <is>
          <t>Sing &amp; learn: Skip Counting by 5</t>
        </is>
      </c>
      <c r="O120" s="15" t="inlineStr">
        <is>
          <t>Yes</t>
        </is>
      </c>
      <c r="P120" s="15" t="inlineStr">
        <is>
          <t>P2</t>
        </is>
      </c>
      <c r="Q120" s="15" t="inlineStr">
        <is>
          <t>Idea</t>
        </is>
      </c>
      <c r="R120" s="48">
        <f>INDEX('Start Here'!$B$10:$B$16,WEEKDAY(C120,2))</f>
        <v/>
      </c>
      <c r="S120" s="48">
        <f>MOD(R120+'Start Here'!$B$6/24,1)</f>
        <v/>
      </c>
      <c r="T120" s="15" t="n"/>
      <c r="U120" s="15" t="n"/>
      <c r="V120" s="15" t="n"/>
      <c r="W120" s="15" t="n"/>
      <c r="X120" s="20" t="n"/>
      <c r="Y120" s="15" t="n"/>
    </row>
    <row r="121">
      <c r="A121" s="15" t="n">
        <v>120</v>
      </c>
      <c r="B121" s="16">
        <f>INT((A121-1)/7)+1</f>
        <v/>
      </c>
      <c r="C121" s="47">
        <f>'Start Here'!$B$5+A121-1</f>
        <v/>
      </c>
      <c r="D121" s="16">
        <f>TEXT(C121,"ddd")</f>
        <v/>
      </c>
      <c r="E121" s="15" t="inlineStr">
        <is>
          <t>Story Monday</t>
        </is>
      </c>
      <c r="F121" s="27" t="inlineStr">
        <is>
          <t>📚 Moral Stories</t>
        </is>
      </c>
      <c r="G121" s="15" t="n">
        <v>9</v>
      </c>
      <c r="H121" s="15" t="inlineStr">
        <is>
          <t>The Girl Who Helped Everyone</t>
        </is>
      </c>
      <c r="I121" s="15" t="inlineStr">
        <is>
          <t>The Girl Who Helped Everyone 📚 | Moral Stories for Kids | Tiny Sparks</t>
        </is>
      </c>
      <c r="J121" s="15" t="inlineStr">
        <is>
          <t>3–5</t>
        </is>
      </c>
      <c r="K121" s="15" t="inlineStr">
        <is>
          <t>Long 16:9 + Short teaser</t>
        </is>
      </c>
      <c r="L121" s="15" t="inlineStr">
        <is>
          <t>3–5 min (Short: 50 s)</t>
        </is>
      </c>
      <c r="M121" s="15" t="inlineStr">
        <is>
          <t>narrator + guest animals / Mila &amp; Leo</t>
        </is>
      </c>
      <c r="N121" s="15" t="inlineStr">
        <is>
          <t>Value: helping others</t>
        </is>
      </c>
      <c r="O121" s="15" t="inlineStr">
        <is>
          <t>Yes</t>
        </is>
      </c>
      <c r="P121" s="15" t="inlineStr">
        <is>
          <t>P2</t>
        </is>
      </c>
      <c r="Q121" s="15" t="inlineStr">
        <is>
          <t>Idea</t>
        </is>
      </c>
      <c r="R121" s="48">
        <f>INDEX('Start Here'!$B$10:$B$16,WEEKDAY(C121,2))</f>
        <v/>
      </c>
      <c r="S121" s="48">
        <f>MOD(R121+'Start Here'!$B$6/24,1)</f>
        <v/>
      </c>
      <c r="T121" s="15" t="n"/>
      <c r="U121" s="15" t="n"/>
      <c r="V121" s="15" t="n"/>
      <c r="W121" s="15" t="n"/>
      <c r="X121" s="20" t="n"/>
      <c r="Y121" s="15" t="n"/>
    </row>
    <row r="122">
      <c r="A122" s="15" t="n">
        <v>121</v>
      </c>
      <c r="B122" s="16">
        <f>INT((A122-1)/7)+1</f>
        <v/>
      </c>
      <c r="C122" s="47">
        <f>'Start Here'!$B$5+A122-1</f>
        <v/>
      </c>
      <c r="D122" s="16">
        <f>TEXT(C122,"ddd")</f>
        <v/>
      </c>
      <c r="E122" s="15" t="inlineStr">
        <is>
          <t>Math Tuesday</t>
        </is>
      </c>
      <c r="F122" s="21" t="inlineStr">
        <is>
          <t>🔢 Numbers &amp; Math</t>
        </is>
      </c>
      <c r="G122" s="15" t="n">
        <v>18</v>
      </c>
      <c r="H122" s="15" t="inlineStr">
        <is>
          <t>Learn Number 8</t>
        </is>
      </c>
      <c r="I122" s="15" t="inlineStr">
        <is>
          <t>Learn Number 8 🔢 | Learn Math for Kids | Tiny Sparks</t>
        </is>
      </c>
      <c r="J122" s="15" t="inlineStr">
        <is>
          <t>3–5</t>
        </is>
      </c>
      <c r="K122" s="15" t="inlineStr">
        <is>
          <t>Short 9:16</t>
        </is>
      </c>
      <c r="L122" s="15" t="inlineStr">
        <is>
          <t>45–60 s</t>
        </is>
      </c>
      <c r="M122" s="15" t="inlineStr">
        <is>
          <t>Bobo + Mila (counting fingers)</t>
        </is>
      </c>
      <c r="N122" s="15" t="inlineStr">
        <is>
          <t>Math: Learn Number 8</t>
        </is>
      </c>
      <c r="O122" s="15" t="inlineStr">
        <is>
          <t>Yes</t>
        </is>
      </c>
      <c r="P122" s="15" t="inlineStr">
        <is>
          <t>P2</t>
        </is>
      </c>
      <c r="Q122" s="15" t="inlineStr">
        <is>
          <t>Idea</t>
        </is>
      </c>
      <c r="R122" s="48">
        <f>INDEX('Start Here'!$B$10:$B$16,WEEKDAY(C122,2))</f>
        <v/>
      </c>
      <c r="S122" s="48">
        <f>MOD(R122+'Start Here'!$B$6/24,1)</f>
        <v/>
      </c>
      <c r="T122" s="15" t="n"/>
      <c r="U122" s="15" t="n"/>
      <c r="V122" s="15" t="n"/>
      <c r="W122" s="15" t="n"/>
      <c r="X122" s="20" t="n"/>
      <c r="Y122" s="15" t="n"/>
    </row>
    <row r="123">
      <c r="A123" s="15" t="n">
        <v>122</v>
      </c>
      <c r="B123" s="16">
        <f>INT((A123-1)/7)+1</f>
        <v/>
      </c>
      <c r="C123" s="47">
        <f>'Start Here'!$B$5+A123-1</f>
        <v/>
      </c>
      <c r="D123" s="16">
        <f>TEXT(C123,"ddd")</f>
        <v/>
      </c>
      <c r="E123" s="15" t="inlineStr">
        <is>
          <t>Word Wednesday</t>
        </is>
      </c>
      <c r="F123" s="22" t="inlineStr">
        <is>
          <t>🔤 English/French Words</t>
        </is>
      </c>
      <c r="G123" s="15" t="n">
        <v>18</v>
      </c>
      <c r="H123" s="15" t="inlineStr">
        <is>
          <t>Kitchen Objects English/French</t>
        </is>
      </c>
      <c r="I123" s="15" t="inlineStr">
        <is>
          <t>Kitchen Objects English/French 🔤 | Kids Vocabulary | Tiny Sparks</t>
        </is>
      </c>
      <c r="J123" s="15" t="inlineStr">
        <is>
          <t>3–5</t>
        </is>
      </c>
      <c r="K123" s="15" t="inlineStr">
        <is>
          <t>Short 9:16</t>
        </is>
      </c>
      <c r="L123" s="15" t="inlineStr">
        <is>
          <t>45–60 s</t>
        </is>
      </c>
      <c r="M123" s="15" t="inlineStr">
        <is>
          <t>Mila + French narrator</t>
        </is>
      </c>
      <c r="N123" s="15" t="inlineStr">
        <is>
          <t>Vocabulary EN→FR: Kitchen Objects</t>
        </is>
      </c>
      <c r="O123" s="15" t="inlineStr">
        <is>
          <t>Yes</t>
        </is>
      </c>
      <c r="P123" s="15" t="inlineStr">
        <is>
          <t>P2</t>
        </is>
      </c>
      <c r="Q123" s="15" t="inlineStr">
        <is>
          <t>Idea</t>
        </is>
      </c>
      <c r="R123" s="48">
        <f>INDEX('Start Here'!$B$10:$B$16,WEEKDAY(C123,2))</f>
        <v/>
      </c>
      <c r="S123" s="48">
        <f>MOD(R123+'Start Here'!$B$6/24,1)</f>
        <v/>
      </c>
      <c r="T123" s="15" t="n"/>
      <c r="U123" s="15" t="n"/>
      <c r="V123" s="15" t="n"/>
      <c r="W123" s="15" t="n"/>
      <c r="X123" s="20" t="n"/>
      <c r="Y123" s="15" t="n"/>
    </row>
    <row r="124">
      <c r="A124" s="15" t="n">
        <v>123</v>
      </c>
      <c r="B124" s="16">
        <f>INT((A124-1)/7)+1</f>
        <v/>
      </c>
      <c r="C124" s="47">
        <f>'Start Here'!$B$5+A124-1</f>
        <v/>
      </c>
      <c r="D124" s="16">
        <f>TEXT(C124,"ddd")</f>
        <v/>
      </c>
      <c r="E124" s="15" t="inlineStr">
        <is>
          <t>Animal Thursday</t>
        </is>
      </c>
      <c r="F124" s="23" t="inlineStr">
        <is>
          <t>🦁 Animal Stories</t>
        </is>
      </c>
      <c r="G124" s="15" t="n">
        <v>18</v>
      </c>
      <c r="H124" s="15" t="inlineStr">
        <is>
          <t>The Bear Who Loved Honey</t>
        </is>
      </c>
      <c r="I124" s="15" t="inlineStr">
        <is>
          <t>Bobo the Bear Who Loved Honey 🦁 | Animal Stories for Kids | Tiny Sparks</t>
        </is>
      </c>
      <c r="J124" s="15" t="inlineStr">
        <is>
          <t>3–5</t>
        </is>
      </c>
      <c r="K124" s="15" t="inlineStr">
        <is>
          <t>Long 16:9 + Short teaser</t>
        </is>
      </c>
      <c r="L124" s="15" t="inlineStr">
        <is>
          <t>3–5 min (Short: 50 s)</t>
        </is>
      </c>
      <c r="M124" s="15" t="inlineStr">
        <is>
          <t>guest animal(s) + Bobo</t>
        </is>
      </c>
      <c r="N124" s="15" t="inlineStr">
        <is>
          <t>Story + 3 true animal facts; value: friendship</t>
        </is>
      </c>
      <c r="O124" s="15" t="inlineStr">
        <is>
          <t>Yes</t>
        </is>
      </c>
      <c r="P124" s="15" t="inlineStr">
        <is>
          <t>P2</t>
        </is>
      </c>
      <c r="Q124" s="15" t="inlineStr">
        <is>
          <t>Idea</t>
        </is>
      </c>
      <c r="R124" s="48">
        <f>INDEX('Start Here'!$B$10:$B$16,WEEKDAY(C124,2))</f>
        <v/>
      </c>
      <c r="S124" s="48">
        <f>MOD(R124+'Start Here'!$B$6/24,1)</f>
        <v/>
      </c>
      <c r="T124" s="15" t="n"/>
      <c r="U124" s="15" t="n"/>
      <c r="V124" s="15" t="n"/>
      <c r="W124" s="15" t="n"/>
      <c r="X124" s="20" t="n"/>
      <c r="Y124" s="15" t="n"/>
    </row>
    <row r="125">
      <c r="A125" s="15" t="n">
        <v>124</v>
      </c>
      <c r="B125" s="16">
        <f>INT((A125-1)/7)+1</f>
        <v/>
      </c>
      <c r="C125" s="47">
        <f>'Start Here'!$B$5+A125-1</f>
        <v/>
      </c>
      <c r="D125" s="16">
        <f>TEXT(C125,"ddd")</f>
        <v/>
      </c>
      <c r="E125" s="15" t="inlineStr">
        <is>
          <t>Science Friday</t>
        </is>
      </c>
      <c r="F125" s="24" t="inlineStr">
        <is>
          <t>🚀 Science for Kids</t>
        </is>
      </c>
      <c r="G125" s="15" t="n">
        <v>18</v>
      </c>
      <c r="H125" s="15" t="inlineStr">
        <is>
          <t>Why Does Water Evaporate?</t>
        </is>
      </c>
      <c r="I125" s="15" t="inlineStr">
        <is>
          <t>Why Does Water Evaporate? 🚀 | Science for Kids | Tiny Sparks</t>
        </is>
      </c>
      <c r="J125" s="15" t="inlineStr">
        <is>
          <t>3–5</t>
        </is>
      </c>
      <c r="K125" s="15" t="inlineStr">
        <is>
          <t>Short 9:16</t>
        </is>
      </c>
      <c r="L125" s="15" t="inlineStr">
        <is>
          <t>45–60 s</t>
        </is>
      </c>
      <c r="M125" s="15" t="inlineStr">
        <is>
          <t>Prof. Hoot + Leo (wrong guess) + Mila</t>
        </is>
      </c>
      <c r="N125" s="15" t="inlineStr">
        <is>
          <t>Answer simply: Why Does Water Evaporate?</t>
        </is>
      </c>
      <c r="O125" s="15" t="inlineStr">
        <is>
          <t>Yes</t>
        </is>
      </c>
      <c r="P125" s="15" t="inlineStr">
        <is>
          <t>P2</t>
        </is>
      </c>
      <c r="Q125" s="15" t="inlineStr">
        <is>
          <t>Idea</t>
        </is>
      </c>
      <c r="R125" s="48">
        <f>INDEX('Start Here'!$B$10:$B$16,WEEKDAY(C125,2))</f>
        <v/>
      </c>
      <c r="S125" s="48">
        <f>MOD(R125+'Start Here'!$B$6/24,1)</f>
        <v/>
      </c>
      <c r="T125" s="15" t="n"/>
      <c r="U125" s="15" t="n"/>
      <c r="V125" s="15" t="n"/>
      <c r="W125" s="15" t="n"/>
      <c r="X125" s="20" t="n"/>
      <c r="Y125" s="15" t="n"/>
    </row>
    <row r="126">
      <c r="A126" s="15" t="n">
        <v>125</v>
      </c>
      <c r="B126" s="16">
        <f>INT((A126-1)/7)+1</f>
        <v/>
      </c>
      <c r="C126" s="47">
        <f>'Start Here'!$B$5+A126-1</f>
        <v/>
      </c>
      <c r="D126" s="16">
        <f>TEXT(C126,"ddd")</f>
        <v/>
      </c>
      <c r="E126" s="15" t="inlineStr">
        <is>
          <t>Puzzle Saturday</t>
        </is>
      </c>
      <c r="F126" s="25" t="inlineStr">
        <is>
          <t>🧩 Puzzles &amp; Problem-Solving</t>
        </is>
      </c>
      <c r="G126" s="15" t="n">
        <v>18</v>
      </c>
      <c r="H126" s="15" t="inlineStr">
        <is>
          <t>Spot the Difference: Ocean</t>
        </is>
      </c>
      <c r="I126" s="15" t="inlineStr">
        <is>
          <t>Spot the Difference: Ocean 🧩 | Brain Games for Kids | Tiny Sparks</t>
        </is>
      </c>
      <c r="J126" s="15" t="inlineStr">
        <is>
          <t>3–5</t>
        </is>
      </c>
      <c r="K126" s="15" t="inlineStr">
        <is>
          <t>Short 9:16</t>
        </is>
      </c>
      <c r="L126" s="15" t="inlineStr">
        <is>
          <t>45–60 s</t>
        </is>
      </c>
      <c r="M126" s="15" t="inlineStr">
        <is>
          <t>Prof. Hoot + Leo + score strip</t>
        </is>
      </c>
      <c r="N126" s="15" t="inlineStr">
        <is>
          <t>Thinking skill: observation</t>
        </is>
      </c>
      <c r="O126" s="15" t="inlineStr">
        <is>
          <t>Yes</t>
        </is>
      </c>
      <c r="P126" s="15" t="inlineStr">
        <is>
          <t>P2</t>
        </is>
      </c>
      <c r="Q126" s="15" t="inlineStr">
        <is>
          <t>Idea</t>
        </is>
      </c>
      <c r="R126" s="48">
        <f>INDEX('Start Here'!$B$10:$B$16,WEEKDAY(C126,2))</f>
        <v/>
      </c>
      <c r="S126" s="48">
        <f>MOD(R126+'Start Here'!$B$6/24,1)</f>
        <v/>
      </c>
      <c r="T126" s="15" t="n"/>
      <c r="U126" s="15" t="n"/>
      <c r="V126" s="15" t="n"/>
      <c r="W126" s="15" t="n"/>
      <c r="X126" s="20" t="n"/>
      <c r="Y126" s="15" t="n"/>
    </row>
    <row r="127">
      <c r="A127" s="15" t="n">
        <v>126</v>
      </c>
      <c r="B127" s="16">
        <f>INT((A127-1)/7)+1</f>
        <v/>
      </c>
      <c r="C127" s="47">
        <f>'Start Here'!$B$5+A127-1</f>
        <v/>
      </c>
      <c r="D127" s="16">
        <f>TEXT(C127,"ddd")</f>
        <v/>
      </c>
      <c r="E127" s="15" t="inlineStr">
        <is>
          <t>Song Sunday</t>
        </is>
      </c>
      <c r="F127" s="26" t="inlineStr">
        <is>
          <t>🎵 Educational Songs</t>
        </is>
      </c>
      <c r="G127" s="15" t="n">
        <v>18</v>
      </c>
      <c r="H127" s="15" t="inlineStr">
        <is>
          <t>Skip Counting by 10 Song</t>
        </is>
      </c>
      <c r="I127" s="15" t="inlineStr">
        <is>
          <t>Skip Counting by 10 Song 🎵 | Kids Songs | Tiny Sparks</t>
        </is>
      </c>
      <c r="J127" s="15" t="inlineStr">
        <is>
          <t>6–8</t>
        </is>
      </c>
      <c r="K127" s="15" t="inlineStr">
        <is>
          <t>Long 16:9 + Short cut</t>
        </is>
      </c>
      <c r="L127" s="15" t="inlineStr">
        <is>
          <t>2–3 min (Short: 45 s chorus)</t>
        </is>
      </c>
      <c r="M127" s="15" t="inlineStr">
        <is>
          <t>Mila sings, all dance</t>
        </is>
      </c>
      <c r="N127" s="15" t="inlineStr">
        <is>
          <t>Sing &amp; learn: Skip Counting by 10</t>
        </is>
      </c>
      <c r="O127" s="15" t="inlineStr">
        <is>
          <t>Yes</t>
        </is>
      </c>
      <c r="P127" s="15" t="inlineStr">
        <is>
          <t>P2</t>
        </is>
      </c>
      <c r="Q127" s="15" t="inlineStr">
        <is>
          <t>Idea</t>
        </is>
      </c>
      <c r="R127" s="48">
        <f>INDEX('Start Here'!$B$10:$B$16,WEEKDAY(C127,2))</f>
        <v/>
      </c>
      <c r="S127" s="48">
        <f>MOD(R127+'Start Here'!$B$6/24,1)</f>
        <v/>
      </c>
      <c r="T127" s="15" t="n"/>
      <c r="U127" s="15" t="n"/>
      <c r="V127" s="15" t="n"/>
      <c r="W127" s="15" t="n"/>
      <c r="X127" s="20" t="n"/>
      <c r="Y127" s="15" t="n"/>
    </row>
    <row r="128">
      <c r="A128" s="15" t="n">
        <v>127</v>
      </c>
      <c r="B128" s="16">
        <f>INT((A128-1)/7)+1</f>
        <v/>
      </c>
      <c r="C128" s="47">
        <f>'Start Here'!$B$5+A128-1</f>
        <v/>
      </c>
      <c r="D128" s="16">
        <f>TEXT(C128,"ddd")</f>
        <v/>
      </c>
      <c r="E128" s="15" t="inlineStr">
        <is>
          <t>Story Monday</t>
        </is>
      </c>
      <c r="F128" s="18" t="inlineStr">
        <is>
          <t>🧠 Educational Stories</t>
        </is>
      </c>
      <c r="G128" s="15" t="n">
        <v>10</v>
      </c>
      <c r="H128" s="15" t="inlineStr">
        <is>
          <t>The Magic Backpack That Taught Kindness</t>
        </is>
      </c>
      <c r="I128" s="15" t="inlineStr">
        <is>
          <t>The Magic Backpack That Taught Kindness 🧠 | Kids Stories | Tiny Sparks</t>
        </is>
      </c>
      <c r="J128" s="15" t="inlineStr">
        <is>
          <t>3–5</t>
        </is>
      </c>
      <c r="K128" s="15" t="inlineStr">
        <is>
          <t>Long 16:9 + Short teaser</t>
        </is>
      </c>
      <c r="L128" s="15" t="inlineStr">
        <is>
          <t>3–5 min (Short: 50 s)</t>
        </is>
      </c>
      <c r="M128" s="15" t="inlineStr">
        <is>
          <t>Mila, Leo, Bobo + narrator</t>
        </is>
      </c>
      <c r="N128" s="15" t="inlineStr">
        <is>
          <t>Life skill: kindness</t>
        </is>
      </c>
      <c r="O128" s="15" t="inlineStr">
        <is>
          <t>Yes</t>
        </is>
      </c>
      <c r="P128" s="15" t="inlineStr">
        <is>
          <t>P2</t>
        </is>
      </c>
      <c r="Q128" s="15" t="inlineStr">
        <is>
          <t>Idea</t>
        </is>
      </c>
      <c r="R128" s="48">
        <f>INDEX('Start Here'!$B$10:$B$16,WEEKDAY(C128,2))</f>
        <v/>
      </c>
      <c r="S128" s="48">
        <f>MOD(R128+'Start Here'!$B$6/24,1)</f>
        <v/>
      </c>
      <c r="T128" s="15" t="n"/>
      <c r="U128" s="15" t="n"/>
      <c r="V128" s="15" t="n"/>
      <c r="W128" s="15" t="n"/>
      <c r="X128" s="20" t="n"/>
      <c r="Y128" s="15" t="n"/>
    </row>
    <row r="129">
      <c r="A129" s="15" t="n">
        <v>128</v>
      </c>
      <c r="B129" s="16">
        <f>INT((A129-1)/7)+1</f>
        <v/>
      </c>
      <c r="C129" s="47">
        <f>'Start Here'!$B$5+A129-1</f>
        <v/>
      </c>
      <c r="D129" s="16">
        <f>TEXT(C129,"ddd")</f>
        <v/>
      </c>
      <c r="E129" s="15" t="inlineStr">
        <is>
          <t>Math Tuesday</t>
        </is>
      </c>
      <c r="F129" s="21" t="inlineStr">
        <is>
          <t>🔢 Numbers &amp; Math</t>
        </is>
      </c>
      <c r="G129" s="15" t="n">
        <v>19</v>
      </c>
      <c r="H129" s="15" t="inlineStr">
        <is>
          <t>Learn Number 9</t>
        </is>
      </c>
      <c r="I129" s="15" t="inlineStr">
        <is>
          <t>Learn Number 9 🔢 | Learn Math for Kids | Tiny Sparks</t>
        </is>
      </c>
      <c r="J129" s="15" t="inlineStr">
        <is>
          <t>3–5</t>
        </is>
      </c>
      <c r="K129" s="15" t="inlineStr">
        <is>
          <t>Short 9:16</t>
        </is>
      </c>
      <c r="L129" s="15" t="inlineStr">
        <is>
          <t>45–60 s</t>
        </is>
      </c>
      <c r="M129" s="15" t="inlineStr">
        <is>
          <t>Bobo + Mila (counting fingers)</t>
        </is>
      </c>
      <c r="N129" s="15" t="inlineStr">
        <is>
          <t>Math: Learn Number 9</t>
        </is>
      </c>
      <c r="O129" s="15" t="inlineStr">
        <is>
          <t>Yes</t>
        </is>
      </c>
      <c r="P129" s="15" t="inlineStr">
        <is>
          <t>P2</t>
        </is>
      </c>
      <c r="Q129" s="15" t="inlineStr">
        <is>
          <t>Idea</t>
        </is>
      </c>
      <c r="R129" s="48">
        <f>INDEX('Start Here'!$B$10:$B$16,WEEKDAY(C129,2))</f>
        <v/>
      </c>
      <c r="S129" s="48">
        <f>MOD(R129+'Start Here'!$B$6/24,1)</f>
        <v/>
      </c>
      <c r="T129" s="15" t="n"/>
      <c r="U129" s="15" t="n"/>
      <c r="V129" s="15" t="n"/>
      <c r="W129" s="15" t="n"/>
      <c r="X129" s="20" t="n"/>
      <c r="Y129" s="15" t="n"/>
    </row>
    <row r="130">
      <c r="A130" s="15" t="n">
        <v>129</v>
      </c>
      <c r="B130" s="16">
        <f>INT((A130-1)/7)+1</f>
        <v/>
      </c>
      <c r="C130" s="47">
        <f>'Start Here'!$B$5+A130-1</f>
        <v/>
      </c>
      <c r="D130" s="16">
        <f>TEXT(C130,"ddd")</f>
        <v/>
      </c>
      <c r="E130" s="15" t="inlineStr">
        <is>
          <t>Word Wednesday</t>
        </is>
      </c>
      <c r="F130" s="22" t="inlineStr">
        <is>
          <t>🔤 English/French Words</t>
        </is>
      </c>
      <c r="G130" s="15" t="n">
        <v>19</v>
      </c>
      <c r="H130" s="15" t="inlineStr">
        <is>
          <t>Bedroom Objects English/French</t>
        </is>
      </c>
      <c r="I130" s="15" t="inlineStr">
        <is>
          <t>Bedroom Objects English/French 🔤 | Kids Vocabulary | Tiny Sparks</t>
        </is>
      </c>
      <c r="J130" s="15" t="inlineStr">
        <is>
          <t>3–5</t>
        </is>
      </c>
      <c r="K130" s="15" t="inlineStr">
        <is>
          <t>Short 9:16</t>
        </is>
      </c>
      <c r="L130" s="15" t="inlineStr">
        <is>
          <t>45–60 s</t>
        </is>
      </c>
      <c r="M130" s="15" t="inlineStr">
        <is>
          <t>Mila + French narrator</t>
        </is>
      </c>
      <c r="N130" s="15" t="inlineStr">
        <is>
          <t>Vocabulary EN→FR: Bedroom Objects</t>
        </is>
      </c>
      <c r="O130" s="15" t="inlineStr">
        <is>
          <t>Yes</t>
        </is>
      </c>
      <c r="P130" s="15" t="inlineStr">
        <is>
          <t>P2</t>
        </is>
      </c>
      <c r="Q130" s="15" t="inlineStr">
        <is>
          <t>Idea</t>
        </is>
      </c>
      <c r="R130" s="48">
        <f>INDEX('Start Here'!$B$10:$B$16,WEEKDAY(C130,2))</f>
        <v/>
      </c>
      <c r="S130" s="48">
        <f>MOD(R130+'Start Here'!$B$6/24,1)</f>
        <v/>
      </c>
      <c r="T130" s="15" t="n"/>
      <c r="U130" s="15" t="n"/>
      <c r="V130" s="15" t="n"/>
      <c r="W130" s="15" t="n"/>
      <c r="X130" s="20" t="n"/>
      <c r="Y130" s="15" t="n"/>
    </row>
    <row r="131">
      <c r="A131" s="15" t="n">
        <v>130</v>
      </c>
      <c r="B131" s="16">
        <f>INT((A131-1)/7)+1</f>
        <v/>
      </c>
      <c r="C131" s="47">
        <f>'Start Here'!$B$5+A131-1</f>
        <v/>
      </c>
      <c r="D131" s="16">
        <f>TEXT(C131,"ddd")</f>
        <v/>
      </c>
      <c r="E131" s="15" t="inlineStr">
        <is>
          <t>Animal Thursday</t>
        </is>
      </c>
      <c r="F131" s="23" t="inlineStr">
        <is>
          <t>🦁 Animal Stories</t>
        </is>
      </c>
      <c r="G131" s="15" t="n">
        <v>19</v>
      </c>
      <c r="H131" s="15" t="inlineStr">
        <is>
          <t>The Deer and the Magic Forest</t>
        </is>
      </c>
      <c r="I131" s="15" t="inlineStr">
        <is>
          <t>The Deer and the Magic Forest 🦁 | Animal Stories for Kids | Tiny Sparks</t>
        </is>
      </c>
      <c r="J131" s="15" t="inlineStr">
        <is>
          <t>3–5</t>
        </is>
      </c>
      <c r="K131" s="15" t="inlineStr">
        <is>
          <t>Long 16:9 + Short teaser</t>
        </is>
      </c>
      <c r="L131" s="15" t="inlineStr">
        <is>
          <t>3–5 min (Short: 50 s)</t>
        </is>
      </c>
      <c r="M131" s="15" t="inlineStr">
        <is>
          <t>guest animal(s) + Bobo</t>
        </is>
      </c>
      <c r="N131" s="15" t="inlineStr">
        <is>
          <t>Story + 3 true animal facts; value: caring for the planet</t>
        </is>
      </c>
      <c r="O131" s="15" t="inlineStr">
        <is>
          <t>Build first: deer</t>
        </is>
      </c>
      <c r="P131" s="15" t="inlineStr">
        <is>
          <t>P2</t>
        </is>
      </c>
      <c r="Q131" s="15" t="inlineStr">
        <is>
          <t>Idea</t>
        </is>
      </c>
      <c r="R131" s="48">
        <f>INDEX('Start Here'!$B$10:$B$16,WEEKDAY(C131,2))</f>
        <v/>
      </c>
      <c r="S131" s="48">
        <f>MOD(R131+'Start Here'!$B$6/24,1)</f>
        <v/>
      </c>
      <c r="T131" s="15" t="n"/>
      <c r="U131" s="15" t="n"/>
      <c r="V131" s="15" t="n"/>
      <c r="W131" s="15" t="n"/>
      <c r="X131" s="20" t="n"/>
      <c r="Y131" s="15" t="n"/>
    </row>
    <row r="132">
      <c r="A132" s="15" t="n">
        <v>131</v>
      </c>
      <c r="B132" s="16">
        <f>INT((A132-1)/7)+1</f>
        <v/>
      </c>
      <c r="C132" s="47">
        <f>'Start Here'!$B$5+A132-1</f>
        <v/>
      </c>
      <c r="D132" s="16">
        <f>TEXT(C132,"ddd")</f>
        <v/>
      </c>
      <c r="E132" s="15" t="inlineStr">
        <is>
          <t>Science Friday</t>
        </is>
      </c>
      <c r="F132" s="24" t="inlineStr">
        <is>
          <t>🚀 Science for Kids</t>
        </is>
      </c>
      <c r="G132" s="15" t="n">
        <v>19</v>
      </c>
      <c r="H132" s="15" t="inlineStr">
        <is>
          <t>The Water Cycle</t>
        </is>
      </c>
      <c r="I132" s="15" t="inlineStr">
        <is>
          <t>The Water Cycle 🚀 | Science for Kids | Tiny Sparks</t>
        </is>
      </c>
      <c r="J132" s="15" t="inlineStr">
        <is>
          <t>6–8</t>
        </is>
      </c>
      <c r="K132" s="15" t="inlineStr">
        <is>
          <t>Long 16:9</t>
        </is>
      </c>
      <c r="L132" s="15" t="inlineStr">
        <is>
          <t>4–8 min</t>
        </is>
      </c>
      <c r="M132" s="15" t="inlineStr">
        <is>
          <t>Prof. Hoot + Leo (wrong guess) + Mila</t>
        </is>
      </c>
      <c r="N132" s="15" t="inlineStr">
        <is>
          <t>Answer simply: The Water Cycle</t>
        </is>
      </c>
      <c r="O132" s="15" t="inlineStr">
        <is>
          <t>Yes</t>
        </is>
      </c>
      <c r="P132" s="15" t="inlineStr">
        <is>
          <t>P2</t>
        </is>
      </c>
      <c r="Q132" s="15" t="inlineStr">
        <is>
          <t>Idea</t>
        </is>
      </c>
      <c r="R132" s="48">
        <f>INDEX('Start Here'!$B$10:$B$16,WEEKDAY(C132,2))</f>
        <v/>
      </c>
      <c r="S132" s="48">
        <f>MOD(R132+'Start Here'!$B$6/24,1)</f>
        <v/>
      </c>
      <c r="T132" s="15" t="n"/>
      <c r="U132" s="15" t="n"/>
      <c r="V132" s="15" t="n"/>
      <c r="W132" s="15" t="n"/>
      <c r="X132" s="20" t="n"/>
      <c r="Y132" s="15" t="n"/>
    </row>
    <row r="133">
      <c r="A133" s="15" t="n">
        <v>132</v>
      </c>
      <c r="B133" s="16">
        <f>INT((A133-1)/7)+1</f>
        <v/>
      </c>
      <c r="C133" s="47">
        <f>'Start Here'!$B$5+A133-1</f>
        <v/>
      </c>
      <c r="D133" s="16">
        <f>TEXT(C133,"ddd")</f>
        <v/>
      </c>
      <c r="E133" s="15" t="inlineStr">
        <is>
          <t>Puzzle Saturday</t>
        </is>
      </c>
      <c r="F133" s="25" t="inlineStr">
        <is>
          <t>🧩 Puzzles &amp; Problem-Solving</t>
        </is>
      </c>
      <c r="G133" s="15" t="n">
        <v>19</v>
      </c>
      <c r="H133" s="15" t="inlineStr">
        <is>
          <t>Spot the Difference: Playground</t>
        </is>
      </c>
      <c r="I133" s="15" t="inlineStr">
        <is>
          <t>Spot the Difference: Playground 🧩 | Brain Games for Kids | Tiny Sparks</t>
        </is>
      </c>
      <c r="J133" s="15" t="inlineStr">
        <is>
          <t>3–5</t>
        </is>
      </c>
      <c r="K133" s="15" t="inlineStr">
        <is>
          <t>Short 9:16</t>
        </is>
      </c>
      <c r="L133" s="15" t="inlineStr">
        <is>
          <t>45–60 s</t>
        </is>
      </c>
      <c r="M133" s="15" t="inlineStr">
        <is>
          <t>Prof. Hoot + Leo + score strip</t>
        </is>
      </c>
      <c r="N133" s="15" t="inlineStr">
        <is>
          <t>Thinking skill: observation</t>
        </is>
      </c>
      <c r="O133" s="15" t="inlineStr">
        <is>
          <t>Yes</t>
        </is>
      </c>
      <c r="P133" s="15" t="inlineStr">
        <is>
          <t>P2</t>
        </is>
      </c>
      <c r="Q133" s="15" t="inlineStr">
        <is>
          <t>Idea</t>
        </is>
      </c>
      <c r="R133" s="48">
        <f>INDEX('Start Here'!$B$10:$B$16,WEEKDAY(C133,2))</f>
        <v/>
      </c>
      <c r="S133" s="48">
        <f>MOD(R133+'Start Here'!$B$6/24,1)</f>
        <v/>
      </c>
      <c r="T133" s="15" t="n"/>
      <c r="U133" s="15" t="n"/>
      <c r="V133" s="15" t="n"/>
      <c r="W133" s="15" t="n"/>
      <c r="X133" s="20" t="n"/>
      <c r="Y133" s="15" t="n"/>
    </row>
    <row r="134">
      <c r="A134" s="15" t="n">
        <v>133</v>
      </c>
      <c r="B134" s="16">
        <f>INT((A134-1)/7)+1</f>
        <v/>
      </c>
      <c r="C134" s="47">
        <f>'Start Here'!$B$5+A134-1</f>
        <v/>
      </c>
      <c r="D134" s="16">
        <f>TEXT(C134,"ddd")</f>
        <v/>
      </c>
      <c r="E134" s="15" t="inlineStr">
        <is>
          <t>Song Sunday</t>
        </is>
      </c>
      <c r="F134" s="26" t="inlineStr">
        <is>
          <t>🎵 Educational Songs</t>
        </is>
      </c>
      <c r="G134" s="15" t="n">
        <v>19</v>
      </c>
      <c r="H134" s="15" t="inlineStr">
        <is>
          <t>Simple Multiplication Song</t>
        </is>
      </c>
      <c r="I134" s="15" t="inlineStr">
        <is>
          <t>Simple Multiplication Song 🎵 | Kids Songs | Tiny Sparks</t>
        </is>
      </c>
      <c r="J134" s="15" t="inlineStr">
        <is>
          <t>6–8</t>
        </is>
      </c>
      <c r="K134" s="15" t="inlineStr">
        <is>
          <t>Long 16:9 + Short cut</t>
        </is>
      </c>
      <c r="L134" s="15" t="inlineStr">
        <is>
          <t>2–3 min (Short: 45 s chorus)</t>
        </is>
      </c>
      <c r="M134" s="15" t="inlineStr">
        <is>
          <t>Mila sings, all dance</t>
        </is>
      </c>
      <c r="N134" s="15" t="inlineStr">
        <is>
          <t>Sing &amp; learn: Simple Multiplication</t>
        </is>
      </c>
      <c r="O134" s="15" t="inlineStr">
        <is>
          <t>Yes</t>
        </is>
      </c>
      <c r="P134" s="15" t="inlineStr">
        <is>
          <t>P2</t>
        </is>
      </c>
      <c r="Q134" s="15" t="inlineStr">
        <is>
          <t>Idea</t>
        </is>
      </c>
      <c r="R134" s="48">
        <f>INDEX('Start Here'!$B$10:$B$16,WEEKDAY(C134,2))</f>
        <v/>
      </c>
      <c r="S134" s="48">
        <f>MOD(R134+'Start Here'!$B$6/24,1)</f>
        <v/>
      </c>
      <c r="T134" s="15" t="n"/>
      <c r="U134" s="15" t="n"/>
      <c r="V134" s="15" t="n"/>
      <c r="W134" s="15" t="n"/>
      <c r="X134" s="20" t="n"/>
      <c r="Y134" s="15" t="n"/>
    </row>
    <row r="135">
      <c r="A135" s="15" t="n">
        <v>134</v>
      </c>
      <c r="B135" s="16">
        <f>INT((A135-1)/7)+1</f>
        <v/>
      </c>
      <c r="C135" s="47">
        <f>'Start Here'!$B$5+A135-1</f>
        <v/>
      </c>
      <c r="D135" s="16">
        <f>TEXT(C135,"ddd")</f>
        <v/>
      </c>
      <c r="E135" s="15" t="inlineStr">
        <is>
          <t>Story Monday</t>
        </is>
      </c>
      <c r="F135" s="27" t="inlineStr">
        <is>
          <t>📚 Moral Stories</t>
        </is>
      </c>
      <c r="G135" s="15" t="n">
        <v>10</v>
      </c>
      <c r="H135" s="15" t="inlineStr">
        <is>
          <t>The Selfish Bear</t>
        </is>
      </c>
      <c r="I135" s="15" t="inlineStr">
        <is>
          <t>The Selfish Bear 📚 | Moral Stories for Kids | Tiny Sparks</t>
        </is>
      </c>
      <c r="J135" s="15" t="inlineStr">
        <is>
          <t>3–5</t>
        </is>
      </c>
      <c r="K135" s="15" t="inlineStr">
        <is>
          <t>Long 16:9 + Short teaser</t>
        </is>
      </c>
      <c r="L135" s="15" t="inlineStr">
        <is>
          <t>3–5 min (Short: 50 s)</t>
        </is>
      </c>
      <c r="M135" s="15" t="inlineStr">
        <is>
          <t>narrator + guest animals / Mila &amp; Leo</t>
        </is>
      </c>
      <c r="N135" s="15" t="inlineStr">
        <is>
          <t>Value: sharing</t>
        </is>
      </c>
      <c r="O135" s="15" t="inlineStr">
        <is>
          <t>Yes</t>
        </is>
      </c>
      <c r="P135" s="15" t="inlineStr">
        <is>
          <t>P2</t>
        </is>
      </c>
      <c r="Q135" s="15" t="inlineStr">
        <is>
          <t>Idea</t>
        </is>
      </c>
      <c r="R135" s="48">
        <f>INDEX('Start Here'!$B$10:$B$16,WEEKDAY(C135,2))</f>
        <v/>
      </c>
      <c r="S135" s="48">
        <f>MOD(R135+'Start Here'!$B$6/24,1)</f>
        <v/>
      </c>
      <c r="T135" s="15" t="n"/>
      <c r="U135" s="15" t="n"/>
      <c r="V135" s="15" t="n"/>
      <c r="W135" s="15" t="n"/>
      <c r="X135" s="20" t="n"/>
      <c r="Y135" s="15" t="n"/>
    </row>
    <row r="136">
      <c r="A136" s="15" t="n">
        <v>135</v>
      </c>
      <c r="B136" s="16">
        <f>INT((A136-1)/7)+1</f>
        <v/>
      </c>
      <c r="C136" s="47">
        <f>'Start Here'!$B$5+A136-1</f>
        <v/>
      </c>
      <c r="D136" s="16">
        <f>TEXT(C136,"ddd")</f>
        <v/>
      </c>
      <c r="E136" s="15" t="inlineStr">
        <is>
          <t>Math Tuesday</t>
        </is>
      </c>
      <c r="F136" s="21" t="inlineStr">
        <is>
          <t>🔢 Numbers &amp; Math</t>
        </is>
      </c>
      <c r="G136" s="15" t="n">
        <v>20</v>
      </c>
      <c r="H136" s="15" t="inlineStr">
        <is>
          <t>Learn Number 10</t>
        </is>
      </c>
      <c r="I136" s="15" t="inlineStr">
        <is>
          <t>Learn Number 10 🔢 | Learn Math for Kids | Tiny Sparks</t>
        </is>
      </c>
      <c r="J136" s="15" t="inlineStr">
        <is>
          <t>3–5</t>
        </is>
      </c>
      <c r="K136" s="15" t="inlineStr">
        <is>
          <t>Short 9:16</t>
        </is>
      </c>
      <c r="L136" s="15" t="inlineStr">
        <is>
          <t>45–60 s</t>
        </is>
      </c>
      <c r="M136" s="15" t="inlineStr">
        <is>
          <t>Bobo + Mila (counting fingers)</t>
        </is>
      </c>
      <c r="N136" s="15" t="inlineStr">
        <is>
          <t>Math: Learn Number 10</t>
        </is>
      </c>
      <c r="O136" s="15" t="inlineStr">
        <is>
          <t>Yes</t>
        </is>
      </c>
      <c r="P136" s="15" t="inlineStr">
        <is>
          <t>P2</t>
        </is>
      </c>
      <c r="Q136" s="15" t="inlineStr">
        <is>
          <t>Idea</t>
        </is>
      </c>
      <c r="R136" s="48">
        <f>INDEX('Start Here'!$B$10:$B$16,WEEKDAY(C136,2))</f>
        <v/>
      </c>
      <c r="S136" s="48">
        <f>MOD(R136+'Start Here'!$B$6/24,1)</f>
        <v/>
      </c>
      <c r="T136" s="15" t="n"/>
      <c r="U136" s="15" t="n"/>
      <c r="V136" s="15" t="n"/>
      <c r="W136" s="15" t="n"/>
      <c r="X136" s="20" t="n"/>
      <c r="Y136" s="15" t="n"/>
    </row>
    <row r="137">
      <c r="A137" s="15" t="n">
        <v>136</v>
      </c>
      <c r="B137" s="16">
        <f>INT((A137-1)/7)+1</f>
        <v/>
      </c>
      <c r="C137" s="47">
        <f>'Start Here'!$B$5+A137-1</f>
        <v/>
      </c>
      <c r="D137" s="16">
        <f>TEXT(C137,"ddd")</f>
        <v/>
      </c>
      <c r="E137" s="15" t="inlineStr">
        <is>
          <t>Word Wednesday</t>
        </is>
      </c>
      <c r="F137" s="22" t="inlineStr">
        <is>
          <t>🔤 English/French Words</t>
        </is>
      </c>
      <c r="G137" s="15" t="n">
        <v>20</v>
      </c>
      <c r="H137" s="15" t="inlineStr">
        <is>
          <t>Bathroom Objects English/French</t>
        </is>
      </c>
      <c r="I137" s="15" t="inlineStr">
        <is>
          <t>Bathroom Objects English/French 🔤 | Kids Vocabulary | Tiny Sparks</t>
        </is>
      </c>
      <c r="J137" s="15" t="inlineStr">
        <is>
          <t>3–5</t>
        </is>
      </c>
      <c r="K137" s="15" t="inlineStr">
        <is>
          <t>Short 9:16</t>
        </is>
      </c>
      <c r="L137" s="15" t="inlineStr">
        <is>
          <t>45–60 s</t>
        </is>
      </c>
      <c r="M137" s="15" t="inlineStr">
        <is>
          <t>Mila + French narrator</t>
        </is>
      </c>
      <c r="N137" s="15" t="inlineStr">
        <is>
          <t>Vocabulary EN→FR: Bathroom Objects</t>
        </is>
      </c>
      <c r="O137" s="15" t="inlineStr">
        <is>
          <t>Yes</t>
        </is>
      </c>
      <c r="P137" s="15" t="inlineStr">
        <is>
          <t>P2</t>
        </is>
      </c>
      <c r="Q137" s="15" t="inlineStr">
        <is>
          <t>Idea</t>
        </is>
      </c>
      <c r="R137" s="48">
        <f>INDEX('Start Here'!$B$10:$B$16,WEEKDAY(C137,2))</f>
        <v/>
      </c>
      <c r="S137" s="48">
        <f>MOD(R137+'Start Here'!$B$6/24,1)</f>
        <v/>
      </c>
      <c r="T137" s="15" t="n"/>
      <c r="U137" s="15" t="n"/>
      <c r="V137" s="15" t="n"/>
      <c r="W137" s="15" t="n"/>
      <c r="X137" s="20" t="n"/>
      <c r="Y137" s="15" t="n"/>
    </row>
    <row r="138">
      <c r="A138" s="15" t="n">
        <v>137</v>
      </c>
      <c r="B138" s="16">
        <f>INT((A138-1)/7)+1</f>
        <v/>
      </c>
      <c r="C138" s="47">
        <f>'Start Here'!$B$5+A138-1</f>
        <v/>
      </c>
      <c r="D138" s="16">
        <f>TEXT(C138,"ddd")</f>
        <v/>
      </c>
      <c r="E138" s="15" t="inlineStr">
        <is>
          <t>Animal Thursday</t>
        </is>
      </c>
      <c r="F138" s="23" t="inlineStr">
        <is>
          <t>🦁 Animal Stories</t>
        </is>
      </c>
      <c r="G138" s="15" t="n">
        <v>20</v>
      </c>
      <c r="H138" s="15" t="inlineStr">
        <is>
          <t>The Wolf Who Wanted Friends</t>
        </is>
      </c>
      <c r="I138" s="15" t="inlineStr">
        <is>
          <t>The Wolf Who Wanted Friends 🦁 | Animal Stories for Kids | Tiny Sparks</t>
        </is>
      </c>
      <c r="J138" s="15" t="inlineStr">
        <is>
          <t>3–5</t>
        </is>
      </c>
      <c r="K138" s="15" t="inlineStr">
        <is>
          <t>Long 16:9 + Short teaser</t>
        </is>
      </c>
      <c r="L138" s="15" t="inlineStr">
        <is>
          <t>3–5 min (Short: 50 s)</t>
        </is>
      </c>
      <c r="M138" s="15" t="inlineStr">
        <is>
          <t>guest animal(s) + Bobo</t>
        </is>
      </c>
      <c r="N138" s="15" t="inlineStr">
        <is>
          <t>Story + 3 true animal facts; value: friendship</t>
        </is>
      </c>
      <c r="O138" s="15" t="inlineStr">
        <is>
          <t>Build first: wolf</t>
        </is>
      </c>
      <c r="P138" s="15" t="inlineStr">
        <is>
          <t>P2</t>
        </is>
      </c>
      <c r="Q138" s="15" t="inlineStr">
        <is>
          <t>Idea</t>
        </is>
      </c>
      <c r="R138" s="48">
        <f>INDEX('Start Here'!$B$10:$B$16,WEEKDAY(C138,2))</f>
        <v/>
      </c>
      <c r="S138" s="48">
        <f>MOD(R138+'Start Here'!$B$6/24,1)</f>
        <v/>
      </c>
      <c r="T138" s="15" t="n"/>
      <c r="U138" s="15" t="n"/>
      <c r="V138" s="15" t="n"/>
      <c r="W138" s="15" t="n"/>
      <c r="X138" s="20" t="n"/>
      <c r="Y138" s="15" t="n"/>
    </row>
    <row r="139">
      <c r="A139" s="15" t="n">
        <v>138</v>
      </c>
      <c r="B139" s="16">
        <f>INT((A139-1)/7)+1</f>
        <v/>
      </c>
      <c r="C139" s="47">
        <f>'Start Here'!$B$5+A139-1</f>
        <v/>
      </c>
      <c r="D139" s="16">
        <f>TEXT(C139,"ddd")</f>
        <v/>
      </c>
      <c r="E139" s="15" t="inlineStr">
        <is>
          <t>Science Friday</t>
        </is>
      </c>
      <c r="F139" s="24" t="inlineStr">
        <is>
          <t>🚀 Science for Kids</t>
        </is>
      </c>
      <c r="G139" s="15" t="n">
        <v>20</v>
      </c>
      <c r="H139" s="15" t="inlineStr">
        <is>
          <t>Why Is the Ocean Salty?</t>
        </is>
      </c>
      <c r="I139" s="15" t="inlineStr">
        <is>
          <t>Why Is the Ocean Salty? 🚀 | Science for Kids | Tiny Sparks</t>
        </is>
      </c>
      <c r="J139" s="15" t="inlineStr">
        <is>
          <t>3–5</t>
        </is>
      </c>
      <c r="K139" s="15" t="inlineStr">
        <is>
          <t>Short 9:16</t>
        </is>
      </c>
      <c r="L139" s="15" t="inlineStr">
        <is>
          <t>45–60 s</t>
        </is>
      </c>
      <c r="M139" s="15" t="inlineStr">
        <is>
          <t>Prof. Hoot + Leo (wrong guess) + Mila</t>
        </is>
      </c>
      <c r="N139" s="15" t="inlineStr">
        <is>
          <t>Answer simply: Why Is the Ocean Salty?</t>
        </is>
      </c>
      <c r="O139" s="15" t="inlineStr">
        <is>
          <t>Yes</t>
        </is>
      </c>
      <c r="P139" s="15" t="inlineStr">
        <is>
          <t>P2</t>
        </is>
      </c>
      <c r="Q139" s="15" t="inlineStr">
        <is>
          <t>Idea</t>
        </is>
      </c>
      <c r="R139" s="48">
        <f>INDEX('Start Here'!$B$10:$B$16,WEEKDAY(C139,2))</f>
        <v/>
      </c>
      <c r="S139" s="48">
        <f>MOD(R139+'Start Here'!$B$6/24,1)</f>
        <v/>
      </c>
      <c r="T139" s="15" t="n"/>
      <c r="U139" s="15" t="n"/>
      <c r="V139" s="15" t="n"/>
      <c r="W139" s="15" t="n"/>
      <c r="X139" s="20" t="n"/>
      <c r="Y139" s="15" t="n"/>
    </row>
    <row r="140">
      <c r="A140" s="15" t="n">
        <v>139</v>
      </c>
      <c r="B140" s="16">
        <f>INT((A140-1)/7)+1</f>
        <v/>
      </c>
      <c r="C140" s="47">
        <f>'Start Here'!$B$5+A140-1</f>
        <v/>
      </c>
      <c r="D140" s="16">
        <f>TEXT(C140,"ddd")</f>
        <v/>
      </c>
      <c r="E140" s="15" t="inlineStr">
        <is>
          <t>Puzzle Saturday</t>
        </is>
      </c>
      <c r="F140" s="25" t="inlineStr">
        <is>
          <t>🧩 Puzzles &amp; Problem-Solving</t>
        </is>
      </c>
      <c r="G140" s="15" t="n">
        <v>20</v>
      </c>
      <c r="H140" s="15" t="inlineStr">
        <is>
          <t>Spot the Difference: House</t>
        </is>
      </c>
      <c r="I140" s="15" t="inlineStr">
        <is>
          <t>Spot the Difference: House 🧩 | Brain Games for Kids | Tiny Sparks</t>
        </is>
      </c>
      <c r="J140" s="15" t="inlineStr">
        <is>
          <t>3–5</t>
        </is>
      </c>
      <c r="K140" s="15" t="inlineStr">
        <is>
          <t>Short 9:16</t>
        </is>
      </c>
      <c r="L140" s="15" t="inlineStr">
        <is>
          <t>45–60 s</t>
        </is>
      </c>
      <c r="M140" s="15" t="inlineStr">
        <is>
          <t>Prof. Hoot + Leo + score strip</t>
        </is>
      </c>
      <c r="N140" s="15" t="inlineStr">
        <is>
          <t>Thinking skill: observation</t>
        </is>
      </c>
      <c r="O140" s="15" t="inlineStr">
        <is>
          <t>Yes</t>
        </is>
      </c>
      <c r="P140" s="15" t="inlineStr">
        <is>
          <t>P2</t>
        </is>
      </c>
      <c r="Q140" s="15" t="inlineStr">
        <is>
          <t>Idea</t>
        </is>
      </c>
      <c r="R140" s="48">
        <f>INDEX('Start Here'!$B$10:$B$16,WEEKDAY(C140,2))</f>
        <v/>
      </c>
      <c r="S140" s="48">
        <f>MOD(R140+'Start Here'!$B$6/24,1)</f>
        <v/>
      </c>
      <c r="T140" s="15" t="n"/>
      <c r="U140" s="15" t="n"/>
      <c r="V140" s="15" t="n"/>
      <c r="W140" s="15" t="n"/>
      <c r="X140" s="20" t="n"/>
      <c r="Y140" s="15" t="n"/>
    </row>
    <row r="141">
      <c r="A141" s="15" t="n">
        <v>140</v>
      </c>
      <c r="B141" s="16">
        <f>INT((A141-1)/7)+1</f>
        <v/>
      </c>
      <c r="C141" s="47">
        <f>'Start Here'!$B$5+A141-1</f>
        <v/>
      </c>
      <c r="D141" s="16">
        <f>TEXT(C141,"ddd")</f>
        <v/>
      </c>
      <c r="E141" s="15" t="inlineStr">
        <is>
          <t>Song Sunday</t>
        </is>
      </c>
      <c r="F141" s="26" t="inlineStr">
        <is>
          <t>🎵 Educational Songs</t>
        </is>
      </c>
      <c r="G141" s="15" t="n">
        <v>20</v>
      </c>
      <c r="H141" s="15" t="inlineStr">
        <is>
          <t>Math Adventure Song</t>
        </is>
      </c>
      <c r="I141" s="15" t="inlineStr">
        <is>
          <t>Math Adventure Song 🎵 | Kids Songs | Tiny Sparks</t>
        </is>
      </c>
      <c r="J141" s="15" t="inlineStr">
        <is>
          <t>3–5</t>
        </is>
      </c>
      <c r="K141" s="15" t="inlineStr">
        <is>
          <t>Long 16:9 + Short cut</t>
        </is>
      </c>
      <c r="L141" s="15" t="inlineStr">
        <is>
          <t>2–3 min (Short: 45 s chorus)</t>
        </is>
      </c>
      <c r="M141" s="15" t="inlineStr">
        <is>
          <t>Mila sings, all dance</t>
        </is>
      </c>
      <c r="N141" s="15" t="inlineStr">
        <is>
          <t>Sing &amp; learn: Math Adventure</t>
        </is>
      </c>
      <c r="O141" s="15" t="inlineStr">
        <is>
          <t>Yes</t>
        </is>
      </c>
      <c r="P141" s="15" t="inlineStr">
        <is>
          <t>P2</t>
        </is>
      </c>
      <c r="Q141" s="15" t="inlineStr">
        <is>
          <t>Idea</t>
        </is>
      </c>
      <c r="R141" s="48">
        <f>INDEX('Start Here'!$B$10:$B$16,WEEKDAY(C141,2))</f>
        <v/>
      </c>
      <c r="S141" s="48">
        <f>MOD(R141+'Start Here'!$B$6/24,1)</f>
        <v/>
      </c>
      <c r="T141" s="15" t="n"/>
      <c r="U141" s="15" t="n"/>
      <c r="V141" s="15" t="n"/>
      <c r="W141" s="15" t="n"/>
      <c r="X141" s="20" t="n"/>
      <c r="Y141" s="15" t="n"/>
    </row>
    <row r="142">
      <c r="A142" s="15" t="n">
        <v>141</v>
      </c>
      <c r="B142" s="16">
        <f>INT((A142-1)/7)+1</f>
        <v/>
      </c>
      <c r="C142" s="47">
        <f>'Start Here'!$B$5+A142-1</f>
        <v/>
      </c>
      <c r="D142" s="16">
        <f>TEXT(C142,"ddd")</f>
        <v/>
      </c>
      <c r="E142" s="15" t="inlineStr">
        <is>
          <t>Story Monday</t>
        </is>
      </c>
      <c r="F142" s="18" t="inlineStr">
        <is>
          <t>🧠 Educational Stories</t>
        </is>
      </c>
      <c r="G142" s="15" t="n">
        <v>11</v>
      </c>
      <c r="H142" s="15" t="inlineStr">
        <is>
          <t>Mia's First Day at School</t>
        </is>
      </c>
      <c r="I142" s="15" t="inlineStr">
        <is>
          <t>Mila's First Day at School 🧠 | Kids Stories | Tiny Sparks</t>
        </is>
      </c>
      <c r="J142" s="15" t="inlineStr">
        <is>
          <t>3–5</t>
        </is>
      </c>
      <c r="K142" s="15" t="inlineStr">
        <is>
          <t>Long 16:9 + Short teaser</t>
        </is>
      </c>
      <c r="L142" s="15" t="inlineStr">
        <is>
          <t>3–5 min (Short: 50 s)</t>
        </is>
      </c>
      <c r="M142" s="15" t="inlineStr">
        <is>
          <t>Mila (lead) · Mila, Leo, Bobo + narrator</t>
        </is>
      </c>
      <c r="N142" s="15" t="inlineStr">
        <is>
          <t>Curiosity + problem solving</t>
        </is>
      </c>
      <c r="O142" s="15" t="inlineStr">
        <is>
          <t>Yes</t>
        </is>
      </c>
      <c r="P142" s="15" t="inlineStr">
        <is>
          <t>P2</t>
        </is>
      </c>
      <c r="Q142" s="15" t="inlineStr">
        <is>
          <t>Idea</t>
        </is>
      </c>
      <c r="R142" s="48">
        <f>INDEX('Start Here'!$B$10:$B$16,WEEKDAY(C142,2))</f>
        <v/>
      </c>
      <c r="S142" s="48">
        <f>MOD(R142+'Start Here'!$B$6/24,1)</f>
        <v/>
      </c>
      <c r="T142" s="15" t="n"/>
      <c r="U142" s="15" t="n"/>
      <c r="V142" s="15" t="n"/>
      <c r="W142" s="15" t="n"/>
      <c r="X142" s="20" t="n"/>
      <c r="Y142" s="15" t="n"/>
    </row>
    <row r="143">
      <c r="A143" s="15" t="n">
        <v>142</v>
      </c>
      <c r="B143" s="16">
        <f>INT((A143-1)/7)+1</f>
        <v/>
      </c>
      <c r="C143" s="47">
        <f>'Start Here'!$B$5+A143-1</f>
        <v/>
      </c>
      <c r="D143" s="16">
        <f>TEXT(C143,"ddd")</f>
        <v/>
      </c>
      <c r="E143" s="15" t="inlineStr">
        <is>
          <t>Math Tuesday</t>
        </is>
      </c>
      <c r="F143" s="21" t="inlineStr">
        <is>
          <t>🔢 Numbers &amp; Math</t>
        </is>
      </c>
      <c r="G143" s="15" t="n">
        <v>21</v>
      </c>
      <c r="H143" s="15" t="inlineStr">
        <is>
          <t>Numbers 1–50</t>
        </is>
      </c>
      <c r="I143" s="15" t="inlineStr">
        <is>
          <t>Numbers 1–50 🔢 | Learn Math for Kids | Tiny Sparks</t>
        </is>
      </c>
      <c r="J143" s="15" t="inlineStr">
        <is>
          <t>6–8</t>
        </is>
      </c>
      <c r="K143" s="15" t="inlineStr">
        <is>
          <t>Long 16:9</t>
        </is>
      </c>
      <c r="L143" s="15" t="inlineStr">
        <is>
          <t>4–8 min</t>
        </is>
      </c>
      <c r="M143" s="15" t="inlineStr">
        <is>
          <t>Bobo + Mila (counting fingers)</t>
        </is>
      </c>
      <c r="N143" s="15" t="inlineStr">
        <is>
          <t>Math: Numbers 1–50</t>
        </is>
      </c>
      <c r="O143" s="15" t="inlineStr">
        <is>
          <t>Yes</t>
        </is>
      </c>
      <c r="P143" s="15" t="inlineStr">
        <is>
          <t>P2</t>
        </is>
      </c>
      <c r="Q143" s="15" t="inlineStr">
        <is>
          <t>Idea</t>
        </is>
      </c>
      <c r="R143" s="48">
        <f>INDEX('Start Here'!$B$10:$B$16,WEEKDAY(C143,2))</f>
        <v/>
      </c>
      <c r="S143" s="48">
        <f>MOD(R143+'Start Here'!$B$6/24,1)</f>
        <v/>
      </c>
      <c r="T143" s="15" t="n"/>
      <c r="U143" s="15" t="n"/>
      <c r="V143" s="15" t="n"/>
      <c r="W143" s="15" t="n"/>
      <c r="X143" s="20" t="n"/>
      <c r="Y143" s="15" t="n"/>
    </row>
    <row r="144">
      <c r="A144" s="15" t="n">
        <v>143</v>
      </c>
      <c r="B144" s="16">
        <f>INT((A144-1)/7)+1</f>
        <v/>
      </c>
      <c r="C144" s="47">
        <f>'Start Here'!$B$5+A144-1</f>
        <v/>
      </c>
      <c r="D144" s="16">
        <f>TEXT(C144,"ddd")</f>
        <v/>
      </c>
      <c r="E144" s="15" t="inlineStr">
        <is>
          <t>Word Wednesday</t>
        </is>
      </c>
      <c r="F144" s="22" t="inlineStr">
        <is>
          <t>🔤 English/French Words</t>
        </is>
      </c>
      <c r="G144" s="15" t="n">
        <v>21</v>
      </c>
      <c r="H144" s="15" t="inlineStr">
        <is>
          <t>House Vocabulary English/French</t>
        </is>
      </c>
      <c r="I144" s="15" t="inlineStr">
        <is>
          <t>House Vocabulary English/French 🔤 | Kids Vocabulary | Tiny Sparks</t>
        </is>
      </c>
      <c r="J144" s="15" t="inlineStr">
        <is>
          <t>3–5</t>
        </is>
      </c>
      <c r="K144" s="15" t="inlineStr">
        <is>
          <t>Short 9:16</t>
        </is>
      </c>
      <c r="L144" s="15" t="inlineStr">
        <is>
          <t>45–60 s</t>
        </is>
      </c>
      <c r="M144" s="15" t="inlineStr">
        <is>
          <t>Mila + French narrator</t>
        </is>
      </c>
      <c r="N144" s="15" t="inlineStr">
        <is>
          <t>Vocabulary EN→FR: House Vocabulary</t>
        </is>
      </c>
      <c r="O144" s="15" t="inlineStr">
        <is>
          <t>Yes</t>
        </is>
      </c>
      <c r="P144" s="15" t="inlineStr">
        <is>
          <t>P2</t>
        </is>
      </c>
      <c r="Q144" s="15" t="inlineStr">
        <is>
          <t>Idea</t>
        </is>
      </c>
      <c r="R144" s="48">
        <f>INDEX('Start Here'!$B$10:$B$16,WEEKDAY(C144,2))</f>
        <v/>
      </c>
      <c r="S144" s="48">
        <f>MOD(R144+'Start Here'!$B$6/24,1)</f>
        <v/>
      </c>
      <c r="T144" s="15" t="n"/>
      <c r="U144" s="15" t="n"/>
      <c r="V144" s="15" t="n"/>
      <c r="W144" s="15" t="n"/>
      <c r="X144" s="20" t="n"/>
      <c r="Y144" s="15" t="n"/>
    </row>
    <row r="145">
      <c r="A145" s="15" t="n">
        <v>144</v>
      </c>
      <c r="B145" s="16">
        <f>INT((A145-1)/7)+1</f>
        <v/>
      </c>
      <c r="C145" s="47">
        <f>'Start Here'!$B$5+A145-1</f>
        <v/>
      </c>
      <c r="D145" s="16">
        <f>TEXT(C145,"ddd")</f>
        <v/>
      </c>
      <c r="E145" s="15" t="inlineStr">
        <is>
          <t>Animal Thursday</t>
        </is>
      </c>
      <c r="F145" s="23" t="inlineStr">
        <is>
          <t>🦁 Animal Stories</t>
        </is>
      </c>
      <c r="G145" s="15" t="n">
        <v>21</v>
      </c>
      <c r="H145" s="15" t="inlineStr">
        <is>
          <t>The Little Elephant's First Day</t>
        </is>
      </c>
      <c r="I145" s="15" t="inlineStr">
        <is>
          <t>The Little Elephant's First Day 🦁 | Animal Stories for Kids | Tiny Sparks</t>
        </is>
      </c>
      <c r="J145" s="15" t="inlineStr">
        <is>
          <t>3–5</t>
        </is>
      </c>
      <c r="K145" s="15" t="inlineStr">
        <is>
          <t>Long 16:9 + Short teaser</t>
        </is>
      </c>
      <c r="L145" s="15" t="inlineStr">
        <is>
          <t>3–5 min (Short: 50 s)</t>
        </is>
      </c>
      <c r="M145" s="15" t="inlineStr">
        <is>
          <t>guest animal(s) + Bobo</t>
        </is>
      </c>
      <c r="N145" s="15" t="inlineStr">
        <is>
          <t>Story + 3 true animal facts; value: friendship</t>
        </is>
      </c>
      <c r="O145" s="15" t="inlineStr">
        <is>
          <t>Build first: elephant</t>
        </is>
      </c>
      <c r="P145" s="15" t="inlineStr">
        <is>
          <t>P2</t>
        </is>
      </c>
      <c r="Q145" s="15" t="inlineStr">
        <is>
          <t>Idea</t>
        </is>
      </c>
      <c r="R145" s="48">
        <f>INDEX('Start Here'!$B$10:$B$16,WEEKDAY(C145,2))</f>
        <v/>
      </c>
      <c r="S145" s="48">
        <f>MOD(R145+'Start Here'!$B$6/24,1)</f>
        <v/>
      </c>
      <c r="T145" s="15" t="n"/>
      <c r="U145" s="15" t="n"/>
      <c r="V145" s="15" t="n"/>
      <c r="W145" s="15" t="n"/>
      <c r="X145" s="20" t="n"/>
      <c r="Y145" s="15" t="n"/>
    </row>
    <row r="146">
      <c r="A146" s="15" t="n">
        <v>145</v>
      </c>
      <c r="B146" s="16">
        <f>INT((A146-1)/7)+1</f>
        <v/>
      </c>
      <c r="C146" s="47">
        <f>'Start Here'!$B$5+A146-1</f>
        <v/>
      </c>
      <c r="D146" s="16">
        <f>TEXT(C146,"ddd")</f>
        <v/>
      </c>
      <c r="E146" s="15" t="inlineStr">
        <is>
          <t>Science Friday</t>
        </is>
      </c>
      <c r="F146" s="24" t="inlineStr">
        <is>
          <t>🚀 Science for Kids</t>
        </is>
      </c>
      <c r="G146" s="15" t="n">
        <v>21</v>
      </c>
      <c r="H146" s="15" t="inlineStr">
        <is>
          <t>What Is Gravity?</t>
        </is>
      </c>
      <c r="I146" s="15" t="inlineStr">
        <is>
          <t>What Is Gravity? 🚀 | Science for Kids | Tiny Sparks</t>
        </is>
      </c>
      <c r="J146" s="15" t="inlineStr">
        <is>
          <t>6–8</t>
        </is>
      </c>
      <c r="K146" s="15" t="inlineStr">
        <is>
          <t>Short 9:16</t>
        </is>
      </c>
      <c r="L146" s="15" t="inlineStr">
        <is>
          <t>45–60 s</t>
        </is>
      </c>
      <c r="M146" s="15" t="inlineStr">
        <is>
          <t>Prof. Hoot + Leo (wrong guess) + Mila</t>
        </is>
      </c>
      <c r="N146" s="15" t="inlineStr">
        <is>
          <t>Answer simply: What Is Gravity?</t>
        </is>
      </c>
      <c r="O146" s="15" t="inlineStr">
        <is>
          <t>Yes</t>
        </is>
      </c>
      <c r="P146" s="15" t="inlineStr">
        <is>
          <t>P2</t>
        </is>
      </c>
      <c r="Q146" s="15" t="inlineStr">
        <is>
          <t>Idea</t>
        </is>
      </c>
      <c r="R146" s="48">
        <f>INDEX('Start Here'!$B$10:$B$16,WEEKDAY(C146,2))</f>
        <v/>
      </c>
      <c r="S146" s="48">
        <f>MOD(R146+'Start Here'!$B$6/24,1)</f>
        <v/>
      </c>
      <c r="T146" s="15" t="n"/>
      <c r="U146" s="15" t="n"/>
      <c r="V146" s="15" t="n"/>
      <c r="W146" s="15" t="n"/>
      <c r="X146" s="20" t="n"/>
      <c r="Y146" s="15" t="n"/>
    </row>
    <row r="147">
      <c r="A147" s="15" t="n">
        <v>146</v>
      </c>
      <c r="B147" s="16">
        <f>INT((A147-1)/7)+1</f>
        <v/>
      </c>
      <c r="C147" s="47">
        <f>'Start Here'!$B$5+A147-1</f>
        <v/>
      </c>
      <c r="D147" s="16">
        <f>TEXT(C147,"ddd")</f>
        <v/>
      </c>
      <c r="E147" s="15" t="inlineStr">
        <is>
          <t>Puzzle Saturday</t>
        </is>
      </c>
      <c r="F147" s="25" t="inlineStr">
        <is>
          <t>🧩 Puzzles &amp; Problem-Solving</t>
        </is>
      </c>
      <c r="G147" s="15" t="n">
        <v>21</v>
      </c>
      <c r="H147" s="15" t="inlineStr">
        <is>
          <t>Help the Rabbit Find Its Carrot</t>
        </is>
      </c>
      <c r="I147" s="15" t="inlineStr">
        <is>
          <t>Help the Rabbit Find Its Carrot 🧩 | Brain Games for Kids | Tiny Sparks</t>
        </is>
      </c>
      <c r="J147" s="15" t="inlineStr">
        <is>
          <t>3–5</t>
        </is>
      </c>
      <c r="K147" s="15" t="inlineStr">
        <is>
          <t>Short 9:16</t>
        </is>
      </c>
      <c r="L147" s="15" t="inlineStr">
        <is>
          <t>45–60 s</t>
        </is>
      </c>
      <c r="M147" s="15" t="inlineStr">
        <is>
          <t>Prof. Hoot + Leo + score strip</t>
        </is>
      </c>
      <c r="N147" s="15" t="inlineStr">
        <is>
          <t>Thinking skill: observation</t>
        </is>
      </c>
      <c r="O147" s="15" t="inlineStr">
        <is>
          <t>Yes</t>
        </is>
      </c>
      <c r="P147" s="15" t="inlineStr">
        <is>
          <t>P2</t>
        </is>
      </c>
      <c r="Q147" s="15" t="inlineStr">
        <is>
          <t>Idea</t>
        </is>
      </c>
      <c r="R147" s="48">
        <f>INDEX('Start Here'!$B$10:$B$16,WEEKDAY(C147,2))</f>
        <v/>
      </c>
      <c r="S147" s="48">
        <f>MOD(R147+'Start Here'!$B$6/24,1)</f>
        <v/>
      </c>
      <c r="T147" s="15" t="n"/>
      <c r="U147" s="15" t="n"/>
      <c r="V147" s="15" t="n"/>
      <c r="W147" s="15" t="n"/>
      <c r="X147" s="20" t="n"/>
      <c r="Y147" s="15" t="n"/>
    </row>
    <row r="148">
      <c r="A148" s="15" t="n">
        <v>147</v>
      </c>
      <c r="B148" s="16">
        <f>INT((A148-1)/7)+1</f>
        <v/>
      </c>
      <c r="C148" s="47">
        <f>'Start Here'!$B$5+A148-1</f>
        <v/>
      </c>
      <c r="D148" s="16">
        <f>TEXT(C148,"ddd")</f>
        <v/>
      </c>
      <c r="E148" s="15" t="inlineStr">
        <is>
          <t>Song Sunday</t>
        </is>
      </c>
      <c r="F148" s="26" t="inlineStr">
        <is>
          <t>🎵 Educational Songs</t>
        </is>
      </c>
      <c r="G148" s="15" t="n">
        <v>21</v>
      </c>
      <c r="H148" s="15" t="inlineStr">
        <is>
          <t>Animal Names Song</t>
        </is>
      </c>
      <c r="I148" s="15" t="inlineStr">
        <is>
          <t>Animal Names Song 🎵 | Kids Songs | Tiny Sparks</t>
        </is>
      </c>
      <c r="J148" s="15" t="inlineStr">
        <is>
          <t>3–5</t>
        </is>
      </c>
      <c r="K148" s="15" t="inlineStr">
        <is>
          <t>Long 16:9 + Short cut</t>
        </is>
      </c>
      <c r="L148" s="15" t="inlineStr">
        <is>
          <t>2–3 min (Short: 45 s chorus)</t>
        </is>
      </c>
      <c r="M148" s="15" t="inlineStr">
        <is>
          <t>Mila sings, all dance</t>
        </is>
      </c>
      <c r="N148" s="15" t="inlineStr">
        <is>
          <t>Sing &amp; learn: Animal Names</t>
        </is>
      </c>
      <c r="O148" s="15" t="inlineStr">
        <is>
          <t>Yes</t>
        </is>
      </c>
      <c r="P148" s="15" t="inlineStr">
        <is>
          <t>P2</t>
        </is>
      </c>
      <c r="Q148" s="15" t="inlineStr">
        <is>
          <t>Idea</t>
        </is>
      </c>
      <c r="R148" s="48">
        <f>INDEX('Start Here'!$B$10:$B$16,WEEKDAY(C148,2))</f>
        <v/>
      </c>
      <c r="S148" s="48">
        <f>MOD(R148+'Start Here'!$B$6/24,1)</f>
        <v/>
      </c>
      <c r="T148" s="15" t="n"/>
      <c r="U148" s="15" t="n"/>
      <c r="V148" s="15" t="n"/>
      <c r="W148" s="15" t="n"/>
      <c r="X148" s="20" t="n"/>
      <c r="Y148" s="15" t="n"/>
    </row>
    <row r="149">
      <c r="A149" s="15" t="n">
        <v>148</v>
      </c>
      <c r="B149" s="16">
        <f>INT((A149-1)/7)+1</f>
        <v/>
      </c>
      <c r="C149" s="47">
        <f>'Start Here'!$B$5+A149-1</f>
        <v/>
      </c>
      <c r="D149" s="16">
        <f>TEXT(C149,"ddd")</f>
        <v/>
      </c>
      <c r="E149" s="15" t="inlineStr">
        <is>
          <t>Story Monday</t>
        </is>
      </c>
      <c r="F149" s="27" t="inlineStr">
        <is>
          <t>📚 Moral Stories</t>
        </is>
      </c>
      <c r="G149" s="15" t="n">
        <v>11</v>
      </c>
      <c r="H149" s="15" t="inlineStr">
        <is>
          <t>The Two Friends and the Lost Coin</t>
        </is>
      </c>
      <c r="I149" s="15" t="inlineStr">
        <is>
          <t>The Two Friends and the Lost Coin 📚 | Moral Stories for Kids | Tiny Sparks</t>
        </is>
      </c>
      <c r="J149" s="15" t="inlineStr">
        <is>
          <t>3–5</t>
        </is>
      </c>
      <c r="K149" s="15" t="inlineStr">
        <is>
          <t>Long 16:9 + Short teaser</t>
        </is>
      </c>
      <c r="L149" s="15" t="inlineStr">
        <is>
          <t>3–5 min (Short: 50 s)</t>
        </is>
      </c>
      <c r="M149" s="15" t="inlineStr">
        <is>
          <t>narrator + guest animals / Mila &amp; Leo</t>
        </is>
      </c>
      <c r="N149" s="15" t="inlineStr">
        <is>
          <t>Value: friendship</t>
        </is>
      </c>
      <c r="O149" s="15" t="inlineStr">
        <is>
          <t>Yes</t>
        </is>
      </c>
      <c r="P149" s="15" t="inlineStr">
        <is>
          <t>P2</t>
        </is>
      </c>
      <c r="Q149" s="15" t="inlineStr">
        <is>
          <t>Idea</t>
        </is>
      </c>
      <c r="R149" s="48">
        <f>INDEX('Start Here'!$B$10:$B$16,WEEKDAY(C149,2))</f>
        <v/>
      </c>
      <c r="S149" s="48">
        <f>MOD(R149+'Start Here'!$B$6/24,1)</f>
        <v/>
      </c>
      <c r="T149" s="15" t="n"/>
      <c r="U149" s="15" t="n"/>
      <c r="V149" s="15" t="n"/>
      <c r="W149" s="15" t="n"/>
      <c r="X149" s="20" t="n"/>
      <c r="Y149" s="15" t="n"/>
    </row>
    <row r="150">
      <c r="A150" s="15" t="n">
        <v>149</v>
      </c>
      <c r="B150" s="16">
        <f>INT((A150-1)/7)+1</f>
        <v/>
      </c>
      <c r="C150" s="47">
        <f>'Start Here'!$B$5+A150-1</f>
        <v/>
      </c>
      <c r="D150" s="16">
        <f>TEXT(C150,"ddd")</f>
        <v/>
      </c>
      <c r="E150" s="15" t="inlineStr">
        <is>
          <t>Math Tuesday</t>
        </is>
      </c>
      <c r="F150" s="21" t="inlineStr">
        <is>
          <t>🔢 Numbers &amp; Math</t>
        </is>
      </c>
      <c r="G150" s="15" t="n">
        <v>22</v>
      </c>
      <c r="H150" s="15" t="inlineStr">
        <is>
          <t>Numbers 1–100</t>
        </is>
      </c>
      <c r="I150" s="15" t="inlineStr">
        <is>
          <t>Numbers 1–100 🔢 | Learn Math for Kids | Tiny Sparks</t>
        </is>
      </c>
      <c r="J150" s="15" t="inlineStr">
        <is>
          <t>6–8</t>
        </is>
      </c>
      <c r="K150" s="15" t="inlineStr">
        <is>
          <t>Long 16:9</t>
        </is>
      </c>
      <c r="L150" s="15" t="inlineStr">
        <is>
          <t>4–8 min</t>
        </is>
      </c>
      <c r="M150" s="15" t="inlineStr">
        <is>
          <t>Bobo + Mila (counting fingers)</t>
        </is>
      </c>
      <c r="N150" s="15" t="inlineStr">
        <is>
          <t>Math: Numbers 1–100</t>
        </is>
      </c>
      <c r="O150" s="15" t="inlineStr">
        <is>
          <t>Yes</t>
        </is>
      </c>
      <c r="P150" s="15" t="inlineStr">
        <is>
          <t>P2</t>
        </is>
      </c>
      <c r="Q150" s="15" t="inlineStr">
        <is>
          <t>Idea</t>
        </is>
      </c>
      <c r="R150" s="48">
        <f>INDEX('Start Here'!$B$10:$B$16,WEEKDAY(C150,2))</f>
        <v/>
      </c>
      <c r="S150" s="48">
        <f>MOD(R150+'Start Here'!$B$6/24,1)</f>
        <v/>
      </c>
      <c r="T150" s="15" t="n"/>
      <c r="U150" s="15" t="n"/>
      <c r="V150" s="15" t="n"/>
      <c r="W150" s="15" t="n"/>
      <c r="X150" s="20" t="n"/>
      <c r="Y150" s="15" t="n"/>
    </row>
    <row r="151">
      <c r="A151" s="15" t="n">
        <v>150</v>
      </c>
      <c r="B151" s="16">
        <f>INT((A151-1)/7)+1</f>
        <v/>
      </c>
      <c r="C151" s="47">
        <f>'Start Here'!$B$5+A151-1</f>
        <v/>
      </c>
      <c r="D151" s="16">
        <f>TEXT(C151,"ddd")</f>
        <v/>
      </c>
      <c r="E151" s="15" t="inlineStr">
        <is>
          <t>Word Wednesday</t>
        </is>
      </c>
      <c r="F151" s="22" t="inlineStr">
        <is>
          <t>🔤 English/French Words</t>
        </is>
      </c>
      <c r="G151" s="15" t="n">
        <v>22</v>
      </c>
      <c r="H151" s="15" t="inlineStr">
        <is>
          <t>Garden Vocabulary English/French</t>
        </is>
      </c>
      <c r="I151" s="15" t="inlineStr">
        <is>
          <t>Garden Vocabulary English/French 🔤 | Kids Vocabulary | Tiny Sparks</t>
        </is>
      </c>
      <c r="J151" s="15" t="inlineStr">
        <is>
          <t>3–5</t>
        </is>
      </c>
      <c r="K151" s="15" t="inlineStr">
        <is>
          <t>Short 9:16</t>
        </is>
      </c>
      <c r="L151" s="15" t="inlineStr">
        <is>
          <t>45–60 s</t>
        </is>
      </c>
      <c r="M151" s="15" t="inlineStr">
        <is>
          <t>Mila + French narrator</t>
        </is>
      </c>
      <c r="N151" s="15" t="inlineStr">
        <is>
          <t>Vocabulary EN→FR: Garden Vocabulary</t>
        </is>
      </c>
      <c r="O151" s="15" t="inlineStr">
        <is>
          <t>Yes</t>
        </is>
      </c>
      <c r="P151" s="15" t="inlineStr">
        <is>
          <t>P2</t>
        </is>
      </c>
      <c r="Q151" s="15" t="inlineStr">
        <is>
          <t>Idea</t>
        </is>
      </c>
      <c r="R151" s="48">
        <f>INDEX('Start Here'!$B$10:$B$16,WEEKDAY(C151,2))</f>
        <v/>
      </c>
      <c r="S151" s="48">
        <f>MOD(R151+'Start Here'!$B$6/24,1)</f>
        <v/>
      </c>
      <c r="T151" s="15" t="n"/>
      <c r="U151" s="15" t="n"/>
      <c r="V151" s="15" t="n"/>
      <c r="W151" s="15" t="n"/>
      <c r="X151" s="20" t="n"/>
      <c r="Y151" s="15" t="n"/>
    </row>
    <row r="152">
      <c r="A152" s="15" t="n">
        <v>151</v>
      </c>
      <c r="B152" s="16">
        <f>INT((A152-1)/7)+1</f>
        <v/>
      </c>
      <c r="C152" s="47">
        <f>'Start Here'!$B$5+A152-1</f>
        <v/>
      </c>
      <c r="D152" s="16">
        <f>TEXT(C152,"ddd")</f>
        <v/>
      </c>
      <c r="E152" s="15" t="inlineStr">
        <is>
          <t>Animal Thursday</t>
        </is>
      </c>
      <c r="F152" s="23" t="inlineStr">
        <is>
          <t>🦁 Animal Stories</t>
        </is>
      </c>
      <c r="G152" s="15" t="n">
        <v>22</v>
      </c>
      <c r="H152" s="15" t="inlineStr">
        <is>
          <t>The Baby Panda's Adventure</t>
        </is>
      </c>
      <c r="I152" s="15" t="inlineStr">
        <is>
          <t>The Baby Panda's Adventure 🦁 | Animal Stories for Kids | Tiny Sparks</t>
        </is>
      </c>
      <c r="J152" s="15" t="inlineStr">
        <is>
          <t>3–5</t>
        </is>
      </c>
      <c r="K152" s="15" t="inlineStr">
        <is>
          <t>Long 16:9 + Short teaser</t>
        </is>
      </c>
      <c r="L152" s="15" t="inlineStr">
        <is>
          <t>3–5 min (Short: 50 s)</t>
        </is>
      </c>
      <c r="M152" s="15" t="inlineStr">
        <is>
          <t>guest animal(s) + Bobo</t>
        </is>
      </c>
      <c r="N152" s="15" t="inlineStr">
        <is>
          <t>Story + 3 true animal facts; value: friendship</t>
        </is>
      </c>
      <c r="O152" s="15" t="inlineStr">
        <is>
          <t>Yes</t>
        </is>
      </c>
      <c r="P152" s="15" t="inlineStr">
        <is>
          <t>P2</t>
        </is>
      </c>
      <c r="Q152" s="15" t="inlineStr">
        <is>
          <t>Idea</t>
        </is>
      </c>
      <c r="R152" s="48">
        <f>INDEX('Start Here'!$B$10:$B$16,WEEKDAY(C152,2))</f>
        <v/>
      </c>
      <c r="S152" s="48">
        <f>MOD(R152+'Start Here'!$B$6/24,1)</f>
        <v/>
      </c>
      <c r="T152" s="15" t="n"/>
      <c r="U152" s="15" t="n"/>
      <c r="V152" s="15" t="n"/>
      <c r="W152" s="15" t="n"/>
      <c r="X152" s="20" t="n"/>
      <c r="Y152" s="15" t="n"/>
    </row>
    <row r="153">
      <c r="A153" s="15" t="n">
        <v>152</v>
      </c>
      <c r="B153" s="16">
        <f>INT((A153-1)/7)+1</f>
        <v/>
      </c>
      <c r="C153" s="47">
        <f>'Start Here'!$B$5+A153-1</f>
        <v/>
      </c>
      <c r="D153" s="16">
        <f>TEXT(C153,"ddd")</f>
        <v/>
      </c>
      <c r="E153" s="15" t="inlineStr">
        <is>
          <t>Science Friday</t>
        </is>
      </c>
      <c r="F153" s="24" t="inlineStr">
        <is>
          <t>🚀 Science for Kids</t>
        </is>
      </c>
      <c r="G153" s="15" t="n">
        <v>22</v>
      </c>
      <c r="H153" s="15" t="inlineStr">
        <is>
          <t>Why Do Things Fall?</t>
        </is>
      </c>
      <c r="I153" s="15" t="inlineStr">
        <is>
          <t>Why Do Things Fall? 🚀 | Science for Kids | Tiny Sparks</t>
        </is>
      </c>
      <c r="J153" s="15" t="inlineStr">
        <is>
          <t>3–5</t>
        </is>
      </c>
      <c r="K153" s="15" t="inlineStr">
        <is>
          <t>Short 9:16</t>
        </is>
      </c>
      <c r="L153" s="15" t="inlineStr">
        <is>
          <t>45–60 s</t>
        </is>
      </c>
      <c r="M153" s="15" t="inlineStr">
        <is>
          <t>Prof. Hoot + Leo (wrong guess) + Mila</t>
        </is>
      </c>
      <c r="N153" s="15" t="inlineStr">
        <is>
          <t>Answer simply: Why Do Things Fall?</t>
        </is>
      </c>
      <c r="O153" s="15" t="inlineStr">
        <is>
          <t>Yes</t>
        </is>
      </c>
      <c r="P153" s="15" t="inlineStr">
        <is>
          <t>P2</t>
        </is>
      </c>
      <c r="Q153" s="15" t="inlineStr">
        <is>
          <t>Idea</t>
        </is>
      </c>
      <c r="R153" s="48">
        <f>INDEX('Start Here'!$B$10:$B$16,WEEKDAY(C153,2))</f>
        <v/>
      </c>
      <c r="S153" s="48">
        <f>MOD(R153+'Start Here'!$B$6/24,1)</f>
        <v/>
      </c>
      <c r="T153" s="15" t="n"/>
      <c r="U153" s="15" t="n"/>
      <c r="V153" s="15" t="n"/>
      <c r="W153" s="15" t="n"/>
      <c r="X153" s="20" t="n"/>
      <c r="Y153" s="15" t="n"/>
    </row>
    <row r="154">
      <c r="A154" s="15" t="n">
        <v>153</v>
      </c>
      <c r="B154" s="16">
        <f>INT((A154-1)/7)+1</f>
        <v/>
      </c>
      <c r="C154" s="47">
        <f>'Start Here'!$B$5+A154-1</f>
        <v/>
      </c>
      <c r="D154" s="16">
        <f>TEXT(C154,"ddd")</f>
        <v/>
      </c>
      <c r="E154" s="15" t="inlineStr">
        <is>
          <t>Puzzle Saturday</t>
        </is>
      </c>
      <c r="F154" s="25" t="inlineStr">
        <is>
          <t>🧩 Puzzles &amp; Problem-Solving</t>
        </is>
      </c>
      <c r="G154" s="15" t="n">
        <v>22</v>
      </c>
      <c r="H154" s="15" t="inlineStr">
        <is>
          <t>Help the Mouse Find the Cheese</t>
        </is>
      </c>
      <c r="I154" s="15" t="inlineStr">
        <is>
          <t>Help the Mouse Find the Cheese 🧩 | Brain Games for Kids | Tiny Sparks</t>
        </is>
      </c>
      <c r="J154" s="15" t="inlineStr">
        <is>
          <t>3–5</t>
        </is>
      </c>
      <c r="K154" s="15" t="inlineStr">
        <is>
          <t>Short 9:16</t>
        </is>
      </c>
      <c r="L154" s="15" t="inlineStr">
        <is>
          <t>45–60 s</t>
        </is>
      </c>
      <c r="M154" s="15" t="inlineStr">
        <is>
          <t>Prof. Hoot + Leo + score strip</t>
        </is>
      </c>
      <c r="N154" s="15" t="inlineStr">
        <is>
          <t>Thinking skill: observation</t>
        </is>
      </c>
      <c r="O154" s="15" t="inlineStr">
        <is>
          <t>Yes</t>
        </is>
      </c>
      <c r="P154" s="15" t="inlineStr">
        <is>
          <t>P2</t>
        </is>
      </c>
      <c r="Q154" s="15" t="inlineStr">
        <is>
          <t>Idea</t>
        </is>
      </c>
      <c r="R154" s="48">
        <f>INDEX('Start Here'!$B$10:$B$16,WEEKDAY(C154,2))</f>
        <v/>
      </c>
      <c r="S154" s="48">
        <f>MOD(R154+'Start Here'!$B$6/24,1)</f>
        <v/>
      </c>
      <c r="T154" s="15" t="n"/>
      <c r="U154" s="15" t="n"/>
      <c r="V154" s="15" t="n"/>
      <c r="W154" s="15" t="n"/>
      <c r="X154" s="20" t="n"/>
      <c r="Y154" s="15" t="n"/>
    </row>
    <row r="155">
      <c r="A155" s="15" t="n">
        <v>154</v>
      </c>
      <c r="B155" s="16">
        <f>INT((A155-1)/7)+1</f>
        <v/>
      </c>
      <c r="C155" s="47">
        <f>'Start Here'!$B$5+A155-1</f>
        <v/>
      </c>
      <c r="D155" s="16">
        <f>TEXT(C155,"ddd")</f>
        <v/>
      </c>
      <c r="E155" s="15" t="inlineStr">
        <is>
          <t>Song Sunday</t>
        </is>
      </c>
      <c r="F155" s="26" t="inlineStr">
        <is>
          <t>🎵 Educational Songs</t>
        </is>
      </c>
      <c r="G155" s="15" t="n">
        <v>22</v>
      </c>
      <c r="H155" s="15" t="inlineStr">
        <is>
          <t>Farm Animals Song</t>
        </is>
      </c>
      <c r="I155" s="15" t="inlineStr">
        <is>
          <t>Farm Animals Song 🎵 | Kids Songs | Tiny Sparks</t>
        </is>
      </c>
      <c r="J155" s="15" t="inlineStr">
        <is>
          <t>3–5</t>
        </is>
      </c>
      <c r="K155" s="15" t="inlineStr">
        <is>
          <t>Long 16:9 + Short cut</t>
        </is>
      </c>
      <c r="L155" s="15" t="inlineStr">
        <is>
          <t>2–3 min (Short: 45 s chorus)</t>
        </is>
      </c>
      <c r="M155" s="15" t="inlineStr">
        <is>
          <t>Mila sings, all dance</t>
        </is>
      </c>
      <c r="N155" s="15" t="inlineStr">
        <is>
          <t>Sing &amp; learn: Farm Animals</t>
        </is>
      </c>
      <c r="O155" s="15" t="inlineStr">
        <is>
          <t>Build first: farm animals</t>
        </is>
      </c>
      <c r="P155" s="15" t="inlineStr">
        <is>
          <t>P2</t>
        </is>
      </c>
      <c r="Q155" s="15" t="inlineStr">
        <is>
          <t>Idea</t>
        </is>
      </c>
      <c r="R155" s="48">
        <f>INDEX('Start Here'!$B$10:$B$16,WEEKDAY(C155,2))</f>
        <v/>
      </c>
      <c r="S155" s="48">
        <f>MOD(R155+'Start Here'!$B$6/24,1)</f>
        <v/>
      </c>
      <c r="T155" s="15" t="n"/>
      <c r="U155" s="15" t="n"/>
      <c r="V155" s="15" t="n"/>
      <c r="W155" s="15" t="n"/>
      <c r="X155" s="20" t="n"/>
      <c r="Y155" s="15" t="n"/>
    </row>
    <row r="156">
      <c r="A156" s="15" t="n">
        <v>155</v>
      </c>
      <c r="B156" s="16">
        <f>INT((A156-1)/7)+1</f>
        <v/>
      </c>
      <c r="C156" s="47">
        <f>'Start Here'!$B$5+A156-1</f>
        <v/>
      </c>
      <c r="D156" s="16">
        <f>TEXT(C156,"ddd")</f>
        <v/>
      </c>
      <c r="E156" s="15" t="inlineStr">
        <is>
          <t>Story Monday</t>
        </is>
      </c>
      <c r="F156" s="18" t="inlineStr">
        <is>
          <t>🧠 Educational Stories</t>
        </is>
      </c>
      <c r="G156" s="15" t="n">
        <v>12</v>
      </c>
      <c r="H156" s="15" t="inlineStr">
        <is>
          <t>Tommy Learns to Wait His Turn</t>
        </is>
      </c>
      <c r="I156" s="15" t="inlineStr">
        <is>
          <t>Leo Learns to Wait His Turn 🧠 | Kids Stories | Tiny Sparks</t>
        </is>
      </c>
      <c r="J156" s="15" t="inlineStr">
        <is>
          <t>3–5</t>
        </is>
      </c>
      <c r="K156" s="15" t="inlineStr">
        <is>
          <t>Long 16:9 + Short teaser</t>
        </is>
      </c>
      <c r="L156" s="15" t="inlineStr">
        <is>
          <t>3–5 min (Short: 50 s)</t>
        </is>
      </c>
      <c r="M156" s="15" t="inlineStr">
        <is>
          <t>Leo (lead) · Mila, Leo, Bobo + narrator</t>
        </is>
      </c>
      <c r="N156" s="15" t="inlineStr">
        <is>
          <t>Life skill: Wait His Turn</t>
        </is>
      </c>
      <c r="O156" s="15" t="inlineStr">
        <is>
          <t>Yes</t>
        </is>
      </c>
      <c r="P156" s="15" t="inlineStr">
        <is>
          <t>P2</t>
        </is>
      </c>
      <c r="Q156" s="15" t="inlineStr">
        <is>
          <t>Idea</t>
        </is>
      </c>
      <c r="R156" s="48">
        <f>INDEX('Start Here'!$B$10:$B$16,WEEKDAY(C156,2))</f>
        <v/>
      </c>
      <c r="S156" s="48">
        <f>MOD(R156+'Start Here'!$B$6/24,1)</f>
        <v/>
      </c>
      <c r="T156" s="15" t="n"/>
      <c r="U156" s="15" t="n"/>
      <c r="V156" s="15" t="n"/>
      <c r="W156" s="15" t="n"/>
      <c r="X156" s="20" t="n"/>
      <c r="Y156" s="15" t="n"/>
    </row>
    <row r="157">
      <c r="A157" s="15" t="n">
        <v>156</v>
      </c>
      <c r="B157" s="16">
        <f>INT((A157-1)/7)+1</f>
        <v/>
      </c>
      <c r="C157" s="47">
        <f>'Start Here'!$B$5+A157-1</f>
        <v/>
      </c>
      <c r="D157" s="16">
        <f>TEXT(C157,"ddd")</f>
        <v/>
      </c>
      <c r="E157" s="15" t="inlineStr">
        <is>
          <t>Math Tuesday</t>
        </is>
      </c>
      <c r="F157" s="21" t="inlineStr">
        <is>
          <t>🔢 Numbers &amp; Math</t>
        </is>
      </c>
      <c r="G157" s="15" t="n">
        <v>23</v>
      </c>
      <c r="H157" s="15" t="inlineStr">
        <is>
          <t>Counting Backwards 10–1</t>
        </is>
      </c>
      <c r="I157" s="15" t="inlineStr">
        <is>
          <t>Counting Backwards 10–1 🔢 | Learn Math for Kids | Tiny Sparks</t>
        </is>
      </c>
      <c r="J157" s="15" t="inlineStr">
        <is>
          <t>3–5</t>
        </is>
      </c>
      <c r="K157" s="15" t="inlineStr">
        <is>
          <t>Short 9:16</t>
        </is>
      </c>
      <c r="L157" s="15" t="inlineStr">
        <is>
          <t>45–60 s</t>
        </is>
      </c>
      <c r="M157" s="15" t="inlineStr">
        <is>
          <t>Bobo + Mila (counting fingers)</t>
        </is>
      </c>
      <c r="N157" s="15" t="inlineStr">
        <is>
          <t>Math: Counting Backwards 10–1</t>
        </is>
      </c>
      <c r="O157" s="15" t="inlineStr">
        <is>
          <t>Yes</t>
        </is>
      </c>
      <c r="P157" s="15" t="inlineStr">
        <is>
          <t>P2</t>
        </is>
      </c>
      <c r="Q157" s="15" t="inlineStr">
        <is>
          <t>Idea</t>
        </is>
      </c>
      <c r="R157" s="48">
        <f>INDEX('Start Here'!$B$10:$B$16,WEEKDAY(C157,2))</f>
        <v/>
      </c>
      <c r="S157" s="48">
        <f>MOD(R157+'Start Here'!$B$6/24,1)</f>
        <v/>
      </c>
      <c r="T157" s="15" t="n"/>
      <c r="U157" s="15" t="n"/>
      <c r="V157" s="15" t="n"/>
      <c r="W157" s="15" t="n"/>
      <c r="X157" s="20" t="n"/>
      <c r="Y157" s="15" t="n"/>
    </row>
    <row r="158">
      <c r="A158" s="15" t="n">
        <v>157</v>
      </c>
      <c r="B158" s="16">
        <f>INT((A158-1)/7)+1</f>
        <v/>
      </c>
      <c r="C158" s="47">
        <f>'Start Here'!$B$5+A158-1</f>
        <v/>
      </c>
      <c r="D158" s="16">
        <f>TEXT(C158,"ddd")</f>
        <v/>
      </c>
      <c r="E158" s="15" t="inlineStr">
        <is>
          <t>Word Wednesday</t>
        </is>
      </c>
      <c r="F158" s="22" t="inlineStr">
        <is>
          <t>🔤 English/French Words</t>
        </is>
      </c>
      <c r="G158" s="15" t="n">
        <v>23</v>
      </c>
      <c r="H158" s="15" t="inlineStr">
        <is>
          <t>Weather Words English/French</t>
        </is>
      </c>
      <c r="I158" s="15" t="inlineStr">
        <is>
          <t>Weather Words English/French 🔤 | Kids Vocabulary | Tiny Sparks</t>
        </is>
      </c>
      <c r="J158" s="15" t="inlineStr">
        <is>
          <t>3–5</t>
        </is>
      </c>
      <c r="K158" s="15" t="inlineStr">
        <is>
          <t>Short 9:16</t>
        </is>
      </c>
      <c r="L158" s="15" t="inlineStr">
        <is>
          <t>45–60 s</t>
        </is>
      </c>
      <c r="M158" s="15" t="inlineStr">
        <is>
          <t>Mila + French narrator</t>
        </is>
      </c>
      <c r="N158" s="15" t="inlineStr">
        <is>
          <t>Vocabulary EN→FR: Weather Words</t>
        </is>
      </c>
      <c r="O158" s="15" t="inlineStr">
        <is>
          <t>Yes</t>
        </is>
      </c>
      <c r="P158" s="15" t="inlineStr">
        <is>
          <t>P2</t>
        </is>
      </c>
      <c r="Q158" s="15" t="inlineStr">
        <is>
          <t>Idea</t>
        </is>
      </c>
      <c r="R158" s="48">
        <f>INDEX('Start Here'!$B$10:$B$16,WEEKDAY(C158,2))</f>
        <v/>
      </c>
      <c r="S158" s="48">
        <f>MOD(R158+'Start Here'!$B$6/24,1)</f>
        <v/>
      </c>
      <c r="T158" s="15" t="n"/>
      <c r="U158" s="15" t="n"/>
      <c r="V158" s="15" t="n"/>
      <c r="W158" s="15" t="n"/>
      <c r="X158" s="20" t="n"/>
      <c r="Y158" s="15" t="n"/>
    </row>
    <row r="159">
      <c r="A159" s="15" t="n">
        <v>158</v>
      </c>
      <c r="B159" s="16">
        <f>INT((A159-1)/7)+1</f>
        <v/>
      </c>
      <c r="C159" s="47">
        <f>'Start Here'!$B$5+A159-1</f>
        <v/>
      </c>
      <c r="D159" s="16">
        <f>TEXT(C159,"ddd")</f>
        <v/>
      </c>
      <c r="E159" s="15" t="inlineStr">
        <is>
          <t>Animal Thursday</t>
        </is>
      </c>
      <c r="F159" s="23" t="inlineStr">
        <is>
          <t>🦁 Animal Stories</t>
        </is>
      </c>
      <c r="G159" s="15" t="n">
        <v>23</v>
      </c>
      <c r="H159" s="15" t="inlineStr">
        <is>
          <t>The Curious Giraffe</t>
        </is>
      </c>
      <c r="I159" s="15" t="inlineStr">
        <is>
          <t>The Curious Giraffe 🦁 | Animal Stories for Kids | Tiny Sparks</t>
        </is>
      </c>
      <c r="J159" s="15" t="inlineStr">
        <is>
          <t>3–5</t>
        </is>
      </c>
      <c r="K159" s="15" t="inlineStr">
        <is>
          <t>Long 16:9 + Short teaser</t>
        </is>
      </c>
      <c r="L159" s="15" t="inlineStr">
        <is>
          <t>3–5 min (Short: 50 s)</t>
        </is>
      </c>
      <c r="M159" s="15" t="inlineStr">
        <is>
          <t>guest animal(s) + Bobo</t>
        </is>
      </c>
      <c r="N159" s="15" t="inlineStr">
        <is>
          <t>Story + 3 true animal facts; value: friendship</t>
        </is>
      </c>
      <c r="O159" s="15" t="inlineStr">
        <is>
          <t>Build first: giraffe</t>
        </is>
      </c>
      <c r="P159" s="15" t="inlineStr">
        <is>
          <t>P2</t>
        </is>
      </c>
      <c r="Q159" s="15" t="inlineStr">
        <is>
          <t>Idea</t>
        </is>
      </c>
      <c r="R159" s="48">
        <f>INDEX('Start Here'!$B$10:$B$16,WEEKDAY(C159,2))</f>
        <v/>
      </c>
      <c r="S159" s="48">
        <f>MOD(R159+'Start Here'!$B$6/24,1)</f>
        <v/>
      </c>
      <c r="T159" s="15" t="n"/>
      <c r="U159" s="15" t="n"/>
      <c r="V159" s="15" t="n"/>
      <c r="W159" s="15" t="n"/>
      <c r="X159" s="20" t="n"/>
      <c r="Y159" s="15" t="n"/>
    </row>
    <row r="160">
      <c r="A160" s="15" t="n">
        <v>159</v>
      </c>
      <c r="B160" s="16">
        <f>INT((A160-1)/7)+1</f>
        <v/>
      </c>
      <c r="C160" s="47">
        <f>'Start Here'!$B$5+A160-1</f>
        <v/>
      </c>
      <c r="D160" s="16">
        <f>TEXT(C160,"ddd")</f>
        <v/>
      </c>
      <c r="E160" s="15" t="inlineStr">
        <is>
          <t>Science Friday</t>
        </is>
      </c>
      <c r="F160" s="24" t="inlineStr">
        <is>
          <t>🚀 Science for Kids</t>
        </is>
      </c>
      <c r="G160" s="15" t="n">
        <v>23</v>
      </c>
      <c r="H160" s="15" t="inlineStr">
        <is>
          <t>Why Can Birds Fly?</t>
        </is>
      </c>
      <c r="I160" s="15" t="inlineStr">
        <is>
          <t>Why Can Birds Fly? 🚀 | Science for Kids | Tiny Sparks</t>
        </is>
      </c>
      <c r="J160" s="15" t="inlineStr">
        <is>
          <t>3–5</t>
        </is>
      </c>
      <c r="K160" s="15" t="inlineStr">
        <is>
          <t>Short 9:16</t>
        </is>
      </c>
      <c r="L160" s="15" t="inlineStr">
        <is>
          <t>45–60 s</t>
        </is>
      </c>
      <c r="M160" s="15" t="inlineStr">
        <is>
          <t>Prof. Hoot + Leo (wrong guess) + Mila</t>
        </is>
      </c>
      <c r="N160" s="15" t="inlineStr">
        <is>
          <t>Answer simply: Why Can Birds Fly?</t>
        </is>
      </c>
      <c r="O160" s="15" t="inlineStr">
        <is>
          <t>Build first: birds</t>
        </is>
      </c>
      <c r="P160" s="15" t="inlineStr">
        <is>
          <t>P2</t>
        </is>
      </c>
      <c r="Q160" s="15" t="inlineStr">
        <is>
          <t>Idea</t>
        </is>
      </c>
      <c r="R160" s="48">
        <f>INDEX('Start Here'!$B$10:$B$16,WEEKDAY(C160,2))</f>
        <v/>
      </c>
      <c r="S160" s="48">
        <f>MOD(R160+'Start Here'!$B$6/24,1)</f>
        <v/>
      </c>
      <c r="T160" s="15" t="n"/>
      <c r="U160" s="15" t="n"/>
      <c r="V160" s="15" t="n"/>
      <c r="W160" s="15" t="n"/>
      <c r="X160" s="20" t="n"/>
      <c r="Y160" s="15" t="n"/>
    </row>
    <row r="161">
      <c r="A161" s="15" t="n">
        <v>160</v>
      </c>
      <c r="B161" s="16">
        <f>INT((A161-1)/7)+1</f>
        <v/>
      </c>
      <c r="C161" s="47">
        <f>'Start Here'!$B$5+A161-1</f>
        <v/>
      </c>
      <c r="D161" s="16">
        <f>TEXT(C161,"ddd")</f>
        <v/>
      </c>
      <c r="E161" s="15" t="inlineStr">
        <is>
          <t>Puzzle Saturday</t>
        </is>
      </c>
      <c r="F161" s="25" t="inlineStr">
        <is>
          <t>🧩 Puzzles &amp; Problem-Solving</t>
        </is>
      </c>
      <c r="G161" s="15" t="n">
        <v>23</v>
      </c>
      <c r="H161" s="15" t="inlineStr">
        <is>
          <t>Help the Lion Find His Cave</t>
        </is>
      </c>
      <c r="I161" s="15" t="inlineStr">
        <is>
          <t>Help the Lion Find His Cave 🧩 | Brain Games for Kids | Tiny Sparks</t>
        </is>
      </c>
      <c r="J161" s="15" t="inlineStr">
        <is>
          <t>3–5</t>
        </is>
      </c>
      <c r="K161" s="15" t="inlineStr">
        <is>
          <t>Short 9:16</t>
        </is>
      </c>
      <c r="L161" s="15" t="inlineStr">
        <is>
          <t>45–60 s</t>
        </is>
      </c>
      <c r="M161" s="15" t="inlineStr">
        <is>
          <t>Prof. Hoot + Leo + score strip</t>
        </is>
      </c>
      <c r="N161" s="15" t="inlineStr">
        <is>
          <t>Thinking skill: observation</t>
        </is>
      </c>
      <c r="O161" s="15" t="inlineStr">
        <is>
          <t>Yes</t>
        </is>
      </c>
      <c r="P161" s="15" t="inlineStr">
        <is>
          <t>P2</t>
        </is>
      </c>
      <c r="Q161" s="15" t="inlineStr">
        <is>
          <t>Idea</t>
        </is>
      </c>
      <c r="R161" s="48">
        <f>INDEX('Start Here'!$B$10:$B$16,WEEKDAY(C161,2))</f>
        <v/>
      </c>
      <c r="S161" s="48">
        <f>MOD(R161+'Start Here'!$B$6/24,1)</f>
        <v/>
      </c>
      <c r="T161" s="15" t="n"/>
      <c r="U161" s="15" t="n"/>
      <c r="V161" s="15" t="n"/>
      <c r="W161" s="15" t="n"/>
      <c r="X161" s="20" t="n"/>
      <c r="Y161" s="15" t="n"/>
    </row>
    <row r="162">
      <c r="A162" s="15" t="n">
        <v>161</v>
      </c>
      <c r="B162" s="16">
        <f>INT((A162-1)/7)+1</f>
        <v/>
      </c>
      <c r="C162" s="47">
        <f>'Start Here'!$B$5+A162-1</f>
        <v/>
      </c>
      <c r="D162" s="16">
        <f>TEXT(C162,"ddd")</f>
        <v/>
      </c>
      <c r="E162" s="15" t="inlineStr">
        <is>
          <t>Song Sunday</t>
        </is>
      </c>
      <c r="F162" s="26" t="inlineStr">
        <is>
          <t>🎵 Educational Songs</t>
        </is>
      </c>
      <c r="G162" s="15" t="n">
        <v>23</v>
      </c>
      <c r="H162" s="15" t="inlineStr">
        <is>
          <t>Jungle Animals Song</t>
        </is>
      </c>
      <c r="I162" s="15" t="inlineStr">
        <is>
          <t>Jungle Animals Song 🎵 | Kids Songs | Tiny Sparks</t>
        </is>
      </c>
      <c r="J162" s="15" t="inlineStr">
        <is>
          <t>3–5</t>
        </is>
      </c>
      <c r="K162" s="15" t="inlineStr">
        <is>
          <t>Long 16:9 + Short cut</t>
        </is>
      </c>
      <c r="L162" s="15" t="inlineStr">
        <is>
          <t>2–3 min (Short: 45 s chorus)</t>
        </is>
      </c>
      <c r="M162" s="15" t="inlineStr">
        <is>
          <t>Mila sings, all dance</t>
        </is>
      </c>
      <c r="N162" s="15" t="inlineStr">
        <is>
          <t>Sing &amp; learn: Jungle Animals</t>
        </is>
      </c>
      <c r="O162" s="15" t="inlineStr">
        <is>
          <t>Build first: jungle</t>
        </is>
      </c>
      <c r="P162" s="15" t="inlineStr">
        <is>
          <t>P2</t>
        </is>
      </c>
      <c r="Q162" s="15" t="inlineStr">
        <is>
          <t>Idea</t>
        </is>
      </c>
      <c r="R162" s="48">
        <f>INDEX('Start Here'!$B$10:$B$16,WEEKDAY(C162,2))</f>
        <v/>
      </c>
      <c r="S162" s="48">
        <f>MOD(R162+'Start Here'!$B$6/24,1)</f>
        <v/>
      </c>
      <c r="T162" s="15" t="n"/>
      <c r="U162" s="15" t="n"/>
      <c r="V162" s="15" t="n"/>
      <c r="W162" s="15" t="n"/>
      <c r="X162" s="20" t="n"/>
      <c r="Y162" s="15" t="n"/>
    </row>
    <row r="163">
      <c r="A163" s="15" t="n">
        <v>162</v>
      </c>
      <c r="B163" s="16">
        <f>INT((A163-1)/7)+1</f>
        <v/>
      </c>
      <c r="C163" s="47">
        <f>'Start Here'!$B$5+A163-1</f>
        <v/>
      </c>
      <c r="D163" s="16">
        <f>TEXT(C163,"ddd")</f>
        <v/>
      </c>
      <c r="E163" s="15" t="inlineStr">
        <is>
          <t>Story Monday</t>
        </is>
      </c>
      <c r="F163" s="27" t="inlineStr">
        <is>
          <t>📚 Moral Stories</t>
        </is>
      </c>
      <c r="G163" s="15" t="n">
        <v>12</v>
      </c>
      <c r="H163" s="15" t="inlineStr">
        <is>
          <t>The Two Brothers and the Apple</t>
        </is>
      </c>
      <c r="I163" s="15" t="inlineStr">
        <is>
          <t>The Two Brothers and the Apple 📚 | Moral Stories for Kids | Tiny Sparks</t>
        </is>
      </c>
      <c r="J163" s="15" t="inlineStr">
        <is>
          <t>3–5</t>
        </is>
      </c>
      <c r="K163" s="15" t="inlineStr">
        <is>
          <t>Long 16:9 + Short teaser</t>
        </is>
      </c>
      <c r="L163" s="15" t="inlineStr">
        <is>
          <t>3–5 min (Short: 50 s)</t>
        </is>
      </c>
      <c r="M163" s="15" t="inlineStr">
        <is>
          <t>narrator + guest animals / Mila &amp; Leo</t>
        </is>
      </c>
      <c r="N163" s="15" t="inlineStr">
        <is>
          <t>Value: kindness</t>
        </is>
      </c>
      <c r="O163" s="15" t="inlineStr">
        <is>
          <t>Yes</t>
        </is>
      </c>
      <c r="P163" s="15" t="inlineStr">
        <is>
          <t>P2</t>
        </is>
      </c>
      <c r="Q163" s="15" t="inlineStr">
        <is>
          <t>Idea</t>
        </is>
      </c>
      <c r="R163" s="48">
        <f>INDEX('Start Here'!$B$10:$B$16,WEEKDAY(C163,2))</f>
        <v/>
      </c>
      <c r="S163" s="48">
        <f>MOD(R163+'Start Here'!$B$6/24,1)</f>
        <v/>
      </c>
      <c r="T163" s="15" t="n"/>
      <c r="U163" s="15" t="n"/>
      <c r="V163" s="15" t="n"/>
      <c r="W163" s="15" t="n"/>
      <c r="X163" s="20" t="n"/>
      <c r="Y163" s="15" t="n"/>
    </row>
    <row r="164">
      <c r="A164" s="15" t="n">
        <v>163</v>
      </c>
      <c r="B164" s="16">
        <f>INT((A164-1)/7)+1</f>
        <v/>
      </c>
      <c r="C164" s="47">
        <f>'Start Here'!$B$5+A164-1</f>
        <v/>
      </c>
      <c r="D164" s="16">
        <f>TEXT(C164,"ddd")</f>
        <v/>
      </c>
      <c r="E164" s="15" t="inlineStr">
        <is>
          <t>Math Tuesday</t>
        </is>
      </c>
      <c r="F164" s="21" t="inlineStr">
        <is>
          <t>🔢 Numbers &amp; Math</t>
        </is>
      </c>
      <c r="G164" s="15" t="n">
        <v>24</v>
      </c>
      <c r="H164" s="15" t="inlineStr">
        <is>
          <t>Counting Backwards 20–1</t>
        </is>
      </c>
      <c r="I164" s="15" t="inlineStr">
        <is>
          <t>Counting Backwards 20–1 🔢 | Learn Math for Kids | Tiny Sparks</t>
        </is>
      </c>
      <c r="J164" s="15" t="inlineStr">
        <is>
          <t>3–5</t>
        </is>
      </c>
      <c r="K164" s="15" t="inlineStr">
        <is>
          <t>Short 9:16</t>
        </is>
      </c>
      <c r="L164" s="15" t="inlineStr">
        <is>
          <t>45–60 s</t>
        </is>
      </c>
      <c r="M164" s="15" t="inlineStr">
        <is>
          <t>Bobo + Mila (counting fingers)</t>
        </is>
      </c>
      <c r="N164" s="15" t="inlineStr">
        <is>
          <t>Math: Counting Backwards 20–1</t>
        </is>
      </c>
      <c r="O164" s="15" t="inlineStr">
        <is>
          <t>Yes</t>
        </is>
      </c>
      <c r="P164" s="15" t="inlineStr">
        <is>
          <t>P2</t>
        </is>
      </c>
      <c r="Q164" s="15" t="inlineStr">
        <is>
          <t>Idea</t>
        </is>
      </c>
      <c r="R164" s="48">
        <f>INDEX('Start Here'!$B$10:$B$16,WEEKDAY(C164,2))</f>
        <v/>
      </c>
      <c r="S164" s="48">
        <f>MOD(R164+'Start Here'!$B$6/24,1)</f>
        <v/>
      </c>
      <c r="T164" s="15" t="n"/>
      <c r="U164" s="15" t="n"/>
      <c r="V164" s="15" t="n"/>
      <c r="W164" s="15" t="n"/>
      <c r="X164" s="20" t="n"/>
      <c r="Y164" s="15" t="n"/>
    </row>
    <row r="165">
      <c r="A165" s="15" t="n">
        <v>164</v>
      </c>
      <c r="B165" s="16">
        <f>INT((A165-1)/7)+1</f>
        <v/>
      </c>
      <c r="C165" s="47">
        <f>'Start Here'!$B$5+A165-1</f>
        <v/>
      </c>
      <c r="D165" s="16">
        <f>TEXT(C165,"ddd")</f>
        <v/>
      </c>
      <c r="E165" s="15" t="inlineStr">
        <is>
          <t>Word Wednesday</t>
        </is>
      </c>
      <c r="F165" s="22" t="inlineStr">
        <is>
          <t>🔤 English/French Words</t>
        </is>
      </c>
      <c r="G165" s="15" t="n">
        <v>24</v>
      </c>
      <c r="H165" s="15" t="inlineStr">
        <is>
          <t>Seasons English/French</t>
        </is>
      </c>
      <c r="I165" s="15" t="inlineStr">
        <is>
          <t>Seasons English/French 🔤 | Kids Vocabulary | Tiny Sparks</t>
        </is>
      </c>
      <c r="J165" s="15" t="inlineStr">
        <is>
          <t>3–5</t>
        </is>
      </c>
      <c r="K165" s="15" t="inlineStr">
        <is>
          <t>Short 9:16</t>
        </is>
      </c>
      <c r="L165" s="15" t="inlineStr">
        <is>
          <t>45–60 s</t>
        </is>
      </c>
      <c r="M165" s="15" t="inlineStr">
        <is>
          <t>Mila + French narrator</t>
        </is>
      </c>
      <c r="N165" s="15" t="inlineStr">
        <is>
          <t>Vocabulary EN→FR: Seasons</t>
        </is>
      </c>
      <c r="O165" s="15" t="inlineStr">
        <is>
          <t>Yes</t>
        </is>
      </c>
      <c r="P165" s="15" t="inlineStr">
        <is>
          <t>P2</t>
        </is>
      </c>
      <c r="Q165" s="15" t="inlineStr">
        <is>
          <t>Idea</t>
        </is>
      </c>
      <c r="R165" s="48">
        <f>INDEX('Start Here'!$B$10:$B$16,WEEKDAY(C165,2))</f>
        <v/>
      </c>
      <c r="S165" s="48">
        <f>MOD(R165+'Start Here'!$B$6/24,1)</f>
        <v/>
      </c>
      <c r="T165" s="15" t="n"/>
      <c r="U165" s="15" t="n"/>
      <c r="V165" s="15" t="n"/>
      <c r="W165" s="15" t="n"/>
      <c r="X165" s="20" t="n"/>
      <c r="Y165" s="15" t="n"/>
    </row>
    <row r="166">
      <c r="A166" s="15" t="n">
        <v>165</v>
      </c>
      <c r="B166" s="16">
        <f>INT((A166-1)/7)+1</f>
        <v/>
      </c>
      <c r="C166" s="47">
        <f>'Start Here'!$B$5+A166-1</f>
        <v/>
      </c>
      <c r="D166" s="16">
        <f>TEXT(C166,"ddd")</f>
        <v/>
      </c>
      <c r="E166" s="15" t="inlineStr">
        <is>
          <t>Animal Thursday</t>
        </is>
      </c>
      <c r="F166" s="23" t="inlineStr">
        <is>
          <t>🦁 Animal Stories</t>
        </is>
      </c>
      <c r="G166" s="15" t="n">
        <v>24</v>
      </c>
      <c r="H166" s="15" t="inlineStr">
        <is>
          <t>The Brave Little Zebra</t>
        </is>
      </c>
      <c r="I166" s="15" t="inlineStr">
        <is>
          <t>The Brave Little Zebra 🦁 | Animal Stories for Kids | Tiny Sparks</t>
        </is>
      </c>
      <c r="J166" s="15" t="inlineStr">
        <is>
          <t>3–5</t>
        </is>
      </c>
      <c r="K166" s="15" t="inlineStr">
        <is>
          <t>Long 16:9 + Short teaser</t>
        </is>
      </c>
      <c r="L166" s="15" t="inlineStr">
        <is>
          <t>3–5 min (Short: 50 s)</t>
        </is>
      </c>
      <c r="M166" s="15" t="inlineStr">
        <is>
          <t>guest animal(s) + Bobo</t>
        </is>
      </c>
      <c r="N166" s="15" t="inlineStr">
        <is>
          <t>Story + 3 true animal facts; value: courage</t>
        </is>
      </c>
      <c r="O166" s="15" t="inlineStr">
        <is>
          <t>Build first: zebra</t>
        </is>
      </c>
      <c r="P166" s="15" t="inlineStr">
        <is>
          <t>P2</t>
        </is>
      </c>
      <c r="Q166" s="15" t="inlineStr">
        <is>
          <t>Idea</t>
        </is>
      </c>
      <c r="R166" s="48">
        <f>INDEX('Start Here'!$B$10:$B$16,WEEKDAY(C166,2))</f>
        <v/>
      </c>
      <c r="S166" s="48">
        <f>MOD(R166+'Start Here'!$B$6/24,1)</f>
        <v/>
      </c>
      <c r="T166" s="15" t="n"/>
      <c r="U166" s="15" t="n"/>
      <c r="V166" s="15" t="n"/>
      <c r="W166" s="15" t="n"/>
      <c r="X166" s="20" t="n"/>
      <c r="Y166" s="15" t="n"/>
    </row>
    <row r="167">
      <c r="A167" s="15" t="n">
        <v>166</v>
      </c>
      <c r="B167" s="16">
        <f>INT((A167-1)/7)+1</f>
        <v/>
      </c>
      <c r="C167" s="47">
        <f>'Start Here'!$B$5+A167-1</f>
        <v/>
      </c>
      <c r="D167" s="16">
        <f>TEXT(C167,"ddd")</f>
        <v/>
      </c>
      <c r="E167" s="15" t="inlineStr">
        <is>
          <t>Science Friday</t>
        </is>
      </c>
      <c r="F167" s="24" t="inlineStr">
        <is>
          <t>🚀 Science for Kids</t>
        </is>
      </c>
      <c r="G167" s="15" t="n">
        <v>24</v>
      </c>
      <c r="H167" s="15" t="inlineStr">
        <is>
          <t>How Do Fish Breathe?</t>
        </is>
      </c>
      <c r="I167" s="15" t="inlineStr">
        <is>
          <t>How Do Fish Breathe? 🚀 | Science for Kids | Tiny Sparks</t>
        </is>
      </c>
      <c r="J167" s="15" t="inlineStr">
        <is>
          <t>3–5</t>
        </is>
      </c>
      <c r="K167" s="15" t="inlineStr">
        <is>
          <t>Short 9:16</t>
        </is>
      </c>
      <c r="L167" s="15" t="inlineStr">
        <is>
          <t>45–60 s</t>
        </is>
      </c>
      <c r="M167" s="15" t="inlineStr">
        <is>
          <t>Prof. Hoot + Leo (wrong guess) + Mila</t>
        </is>
      </c>
      <c r="N167" s="15" t="inlineStr">
        <is>
          <t>Answer simply: How Do Fish Breathe?</t>
        </is>
      </c>
      <c r="O167" s="15" t="inlineStr">
        <is>
          <t>Build first: fish</t>
        </is>
      </c>
      <c r="P167" s="15" t="inlineStr">
        <is>
          <t>P2</t>
        </is>
      </c>
      <c r="Q167" s="15" t="inlineStr">
        <is>
          <t>Idea</t>
        </is>
      </c>
      <c r="R167" s="48">
        <f>INDEX('Start Here'!$B$10:$B$16,WEEKDAY(C167,2))</f>
        <v/>
      </c>
      <c r="S167" s="48">
        <f>MOD(R167+'Start Here'!$B$6/24,1)</f>
        <v/>
      </c>
      <c r="T167" s="15" t="n"/>
      <c r="U167" s="15" t="n"/>
      <c r="V167" s="15" t="n"/>
      <c r="W167" s="15" t="n"/>
      <c r="X167" s="20" t="n"/>
      <c r="Y167" s="15" t="n"/>
    </row>
    <row r="168">
      <c r="A168" s="15" t="n">
        <v>167</v>
      </c>
      <c r="B168" s="16">
        <f>INT((A168-1)/7)+1</f>
        <v/>
      </c>
      <c r="C168" s="47">
        <f>'Start Here'!$B$5+A168-1</f>
        <v/>
      </c>
      <c r="D168" s="16">
        <f>TEXT(C168,"ddd")</f>
        <v/>
      </c>
      <c r="E168" s="15" t="inlineStr">
        <is>
          <t>Puzzle Saturday</t>
        </is>
      </c>
      <c r="F168" s="25" t="inlineStr">
        <is>
          <t>🧩 Puzzles &amp; Problem-Solving</t>
        </is>
      </c>
      <c r="G168" s="15" t="n">
        <v>24</v>
      </c>
      <c r="H168" s="15" t="inlineStr">
        <is>
          <t>Help the Penguin Find Home</t>
        </is>
      </c>
      <c r="I168" s="15" t="inlineStr">
        <is>
          <t>Help the Penguin Find Home 🧩 | Brain Games for Kids | Tiny Sparks</t>
        </is>
      </c>
      <c r="J168" s="15" t="inlineStr">
        <is>
          <t>3–5</t>
        </is>
      </c>
      <c r="K168" s="15" t="inlineStr">
        <is>
          <t>Short 9:16</t>
        </is>
      </c>
      <c r="L168" s="15" t="inlineStr">
        <is>
          <t>45–60 s</t>
        </is>
      </c>
      <c r="M168" s="15" t="inlineStr">
        <is>
          <t>Prof. Hoot + Leo + score strip</t>
        </is>
      </c>
      <c r="N168" s="15" t="inlineStr">
        <is>
          <t>Thinking skill: observation</t>
        </is>
      </c>
      <c r="O168" s="15" t="inlineStr">
        <is>
          <t>Build first: penguin</t>
        </is>
      </c>
      <c r="P168" s="15" t="inlineStr">
        <is>
          <t>P2</t>
        </is>
      </c>
      <c r="Q168" s="15" t="inlineStr">
        <is>
          <t>Idea</t>
        </is>
      </c>
      <c r="R168" s="48">
        <f>INDEX('Start Here'!$B$10:$B$16,WEEKDAY(C168,2))</f>
        <v/>
      </c>
      <c r="S168" s="48">
        <f>MOD(R168+'Start Here'!$B$6/24,1)</f>
        <v/>
      </c>
      <c r="T168" s="15" t="n"/>
      <c r="U168" s="15" t="n"/>
      <c r="V168" s="15" t="n"/>
      <c r="W168" s="15" t="n"/>
      <c r="X168" s="20" t="n"/>
      <c r="Y168" s="15" t="n"/>
    </row>
    <row r="169">
      <c r="A169" s="15" t="n">
        <v>168</v>
      </c>
      <c r="B169" s="16">
        <f>INT((A169-1)/7)+1</f>
        <v/>
      </c>
      <c r="C169" s="47">
        <f>'Start Here'!$B$5+A169-1</f>
        <v/>
      </c>
      <c r="D169" s="16">
        <f>TEXT(C169,"ddd")</f>
        <v/>
      </c>
      <c r="E169" s="15" t="inlineStr">
        <is>
          <t>Song Sunday</t>
        </is>
      </c>
      <c r="F169" s="26" t="inlineStr">
        <is>
          <t>🎵 Educational Songs</t>
        </is>
      </c>
      <c r="G169" s="15" t="n">
        <v>24</v>
      </c>
      <c r="H169" s="15" t="inlineStr">
        <is>
          <t>Ocean Animals Song</t>
        </is>
      </c>
      <c r="I169" s="15" t="inlineStr">
        <is>
          <t>Ocean Animals Song 🎵 | Kids Songs | Tiny Sparks</t>
        </is>
      </c>
      <c r="J169" s="15" t="inlineStr">
        <is>
          <t>3–5</t>
        </is>
      </c>
      <c r="K169" s="15" t="inlineStr">
        <is>
          <t>Long 16:9 + Short cut</t>
        </is>
      </c>
      <c r="L169" s="15" t="inlineStr">
        <is>
          <t>2–3 min (Short: 45 s chorus)</t>
        </is>
      </c>
      <c r="M169" s="15" t="inlineStr">
        <is>
          <t>Mila sings, all dance</t>
        </is>
      </c>
      <c r="N169" s="15" t="inlineStr">
        <is>
          <t>Sing &amp; learn: Ocean Animals</t>
        </is>
      </c>
      <c r="O169" s="15" t="inlineStr">
        <is>
          <t>Build first: ocean animals</t>
        </is>
      </c>
      <c r="P169" s="15" t="inlineStr">
        <is>
          <t>P2</t>
        </is>
      </c>
      <c r="Q169" s="15" t="inlineStr">
        <is>
          <t>Idea</t>
        </is>
      </c>
      <c r="R169" s="48">
        <f>INDEX('Start Here'!$B$10:$B$16,WEEKDAY(C169,2))</f>
        <v/>
      </c>
      <c r="S169" s="48">
        <f>MOD(R169+'Start Here'!$B$6/24,1)</f>
        <v/>
      </c>
      <c r="T169" s="15" t="n"/>
      <c r="U169" s="15" t="n"/>
      <c r="V169" s="15" t="n"/>
      <c r="W169" s="15" t="n"/>
      <c r="X169" s="20" t="n"/>
      <c r="Y169" s="15" t="n"/>
    </row>
    <row r="170">
      <c r="A170" s="15" t="n">
        <v>169</v>
      </c>
      <c r="B170" s="16">
        <f>INT((A170-1)/7)+1</f>
        <v/>
      </c>
      <c r="C170" s="47">
        <f>'Start Here'!$B$5+A170-1</f>
        <v/>
      </c>
      <c r="D170" s="16">
        <f>TEXT(C170,"ddd")</f>
        <v/>
      </c>
      <c r="E170" s="15" t="inlineStr">
        <is>
          <t>Story Monday</t>
        </is>
      </c>
      <c r="F170" s="18" t="inlineStr">
        <is>
          <t>🧠 Educational Stories</t>
        </is>
      </c>
      <c r="G170" s="15" t="n">
        <v>13</v>
      </c>
      <c r="H170" s="15" t="inlineStr">
        <is>
          <t>The Lost Toy Adventure</t>
        </is>
      </c>
      <c r="I170" s="15" t="inlineStr">
        <is>
          <t>The Lost Toy Adventure 🧠 | Kids Stories | Tiny Sparks</t>
        </is>
      </c>
      <c r="J170" s="15" t="inlineStr">
        <is>
          <t>3–5</t>
        </is>
      </c>
      <c r="K170" s="15" t="inlineStr">
        <is>
          <t>Long 16:9 + Short teaser</t>
        </is>
      </c>
      <c r="L170" s="15" t="inlineStr">
        <is>
          <t>3–5 min (Short: 50 s)</t>
        </is>
      </c>
      <c r="M170" s="15" t="inlineStr">
        <is>
          <t>Mila, Leo, Bobo + narrator</t>
        </is>
      </c>
      <c r="N170" s="15" t="inlineStr">
        <is>
          <t>Curiosity + problem solving</t>
        </is>
      </c>
      <c r="O170" s="15" t="inlineStr">
        <is>
          <t>Yes</t>
        </is>
      </c>
      <c r="P170" s="15" t="inlineStr">
        <is>
          <t>P2</t>
        </is>
      </c>
      <c r="Q170" s="15" t="inlineStr">
        <is>
          <t>Idea</t>
        </is>
      </c>
      <c r="R170" s="48">
        <f>INDEX('Start Here'!$B$10:$B$16,WEEKDAY(C170,2))</f>
        <v/>
      </c>
      <c r="S170" s="48">
        <f>MOD(R170+'Start Here'!$B$6/24,1)</f>
        <v/>
      </c>
      <c r="T170" s="15" t="n"/>
      <c r="U170" s="15" t="n"/>
      <c r="V170" s="15" t="n"/>
      <c r="W170" s="15" t="n"/>
      <c r="X170" s="20" t="n"/>
      <c r="Y170" s="15" t="n"/>
    </row>
    <row r="171">
      <c r="A171" s="15" t="n">
        <v>170</v>
      </c>
      <c r="B171" s="16">
        <f>INT((A171-1)/7)+1</f>
        <v/>
      </c>
      <c r="C171" s="47">
        <f>'Start Here'!$B$5+A171-1</f>
        <v/>
      </c>
      <c r="D171" s="16">
        <f>TEXT(C171,"ddd")</f>
        <v/>
      </c>
      <c r="E171" s="15" t="inlineStr">
        <is>
          <t>Math Tuesday</t>
        </is>
      </c>
      <c r="F171" s="21" t="inlineStr">
        <is>
          <t>🔢 Numbers &amp; Math</t>
        </is>
      </c>
      <c r="G171" s="15" t="n">
        <v>25</v>
      </c>
      <c r="H171" s="15" t="inlineStr">
        <is>
          <t>Skip Counting by 2</t>
        </is>
      </c>
      <c r="I171" s="15" t="inlineStr">
        <is>
          <t>Skip Counting by 2 🔢 | Learn Math for Kids | Tiny Sparks</t>
        </is>
      </c>
      <c r="J171" s="15" t="inlineStr">
        <is>
          <t>6–8</t>
        </is>
      </c>
      <c r="K171" s="15" t="inlineStr">
        <is>
          <t>Short 9:16</t>
        </is>
      </c>
      <c r="L171" s="15" t="inlineStr">
        <is>
          <t>45–60 s</t>
        </is>
      </c>
      <c r="M171" s="15" t="inlineStr">
        <is>
          <t>Bobo + Mila (counting fingers)</t>
        </is>
      </c>
      <c r="N171" s="15" t="inlineStr">
        <is>
          <t>Math: Skip Counting by 2</t>
        </is>
      </c>
      <c r="O171" s="15" t="inlineStr">
        <is>
          <t>Yes</t>
        </is>
      </c>
      <c r="P171" s="15" t="inlineStr">
        <is>
          <t>P2</t>
        </is>
      </c>
      <c r="Q171" s="15" t="inlineStr">
        <is>
          <t>Idea</t>
        </is>
      </c>
      <c r="R171" s="48">
        <f>INDEX('Start Here'!$B$10:$B$16,WEEKDAY(C171,2))</f>
        <v/>
      </c>
      <c r="S171" s="48">
        <f>MOD(R171+'Start Here'!$B$6/24,1)</f>
        <v/>
      </c>
      <c r="T171" s="15" t="n"/>
      <c r="U171" s="15" t="n"/>
      <c r="V171" s="15" t="n"/>
      <c r="W171" s="15" t="n"/>
      <c r="X171" s="20" t="n"/>
      <c r="Y171" s="15" t="n"/>
    </row>
    <row r="172">
      <c r="A172" s="15" t="n">
        <v>171</v>
      </c>
      <c r="B172" s="16">
        <f>INT((A172-1)/7)+1</f>
        <v/>
      </c>
      <c r="C172" s="47">
        <f>'Start Here'!$B$5+A172-1</f>
        <v/>
      </c>
      <c r="D172" s="16">
        <f>TEXT(C172,"ddd")</f>
        <v/>
      </c>
      <c r="E172" s="15" t="inlineStr">
        <is>
          <t>Word Wednesday</t>
        </is>
      </c>
      <c r="F172" s="22" t="inlineStr">
        <is>
          <t>🔤 English/French Words</t>
        </is>
      </c>
      <c r="G172" s="15" t="n">
        <v>25</v>
      </c>
      <c r="H172" s="15" t="inlineStr">
        <is>
          <t>Days of the Week</t>
        </is>
      </c>
      <c r="I172" s="15" t="inlineStr">
        <is>
          <t>Days of the Week 🔤 | Kids Vocabulary | Tiny Sparks</t>
        </is>
      </c>
      <c r="J172" s="15" t="inlineStr">
        <is>
          <t>3–5</t>
        </is>
      </c>
      <c r="K172" s="15" t="inlineStr">
        <is>
          <t>Short 9:16</t>
        </is>
      </c>
      <c r="L172" s="15" t="inlineStr">
        <is>
          <t>45–60 s</t>
        </is>
      </c>
      <c r="M172" s="15" t="inlineStr">
        <is>
          <t>Mila + French narrator</t>
        </is>
      </c>
      <c r="N172" s="15" t="inlineStr">
        <is>
          <t>Vocabulary EN→FR: Days of the Week</t>
        </is>
      </c>
      <c r="O172" s="15" t="inlineStr">
        <is>
          <t>Yes</t>
        </is>
      </c>
      <c r="P172" s="15" t="inlineStr">
        <is>
          <t>P2</t>
        </is>
      </c>
      <c r="Q172" s="15" t="inlineStr">
        <is>
          <t>Idea</t>
        </is>
      </c>
      <c r="R172" s="48">
        <f>INDEX('Start Here'!$B$10:$B$16,WEEKDAY(C172,2))</f>
        <v/>
      </c>
      <c r="S172" s="48">
        <f>MOD(R172+'Start Here'!$B$6/24,1)</f>
        <v/>
      </c>
      <c r="T172" s="15" t="n"/>
      <c r="U172" s="15" t="n"/>
      <c r="V172" s="15" t="n"/>
      <c r="W172" s="15" t="n"/>
      <c r="X172" s="20" t="n"/>
      <c r="Y172" s="15" t="n"/>
    </row>
    <row r="173">
      <c r="A173" s="15" t="n">
        <v>172</v>
      </c>
      <c r="B173" s="16">
        <f>INT((A173-1)/7)+1</f>
        <v/>
      </c>
      <c r="C173" s="47">
        <f>'Start Here'!$B$5+A173-1</f>
        <v/>
      </c>
      <c r="D173" s="16">
        <f>TEXT(C173,"ddd")</f>
        <v/>
      </c>
      <c r="E173" s="15" t="inlineStr">
        <is>
          <t>Animal Thursday</t>
        </is>
      </c>
      <c r="F173" s="23" t="inlineStr">
        <is>
          <t>🦁 Animal Stories</t>
        </is>
      </c>
      <c r="G173" s="15" t="n">
        <v>25</v>
      </c>
      <c r="H173" s="15" t="inlineStr">
        <is>
          <t>The Hippo Who Wanted to Dance</t>
        </is>
      </c>
      <c r="I173" s="15" t="inlineStr">
        <is>
          <t>The Hippo Who Wanted to Dance 🦁 | Animal Stories for Kids | Tiny Sparks</t>
        </is>
      </c>
      <c r="J173" s="15" t="inlineStr">
        <is>
          <t>3–5</t>
        </is>
      </c>
      <c r="K173" s="15" t="inlineStr">
        <is>
          <t>Long 16:9 + Short teaser</t>
        </is>
      </c>
      <c r="L173" s="15" t="inlineStr">
        <is>
          <t>3–5 min (Short: 50 s)</t>
        </is>
      </c>
      <c r="M173" s="15" t="inlineStr">
        <is>
          <t>guest animal(s) + Bobo</t>
        </is>
      </c>
      <c r="N173" s="15" t="inlineStr">
        <is>
          <t>Story + 3 true animal facts; value: friendship</t>
        </is>
      </c>
      <c r="O173" s="15" t="inlineStr">
        <is>
          <t>Build first: hippo</t>
        </is>
      </c>
      <c r="P173" s="15" t="inlineStr">
        <is>
          <t>P2</t>
        </is>
      </c>
      <c r="Q173" s="15" t="inlineStr">
        <is>
          <t>Idea</t>
        </is>
      </c>
      <c r="R173" s="48">
        <f>INDEX('Start Here'!$B$10:$B$16,WEEKDAY(C173,2))</f>
        <v/>
      </c>
      <c r="S173" s="48">
        <f>MOD(R173+'Start Here'!$B$6/24,1)</f>
        <v/>
      </c>
      <c r="T173" s="15" t="n"/>
      <c r="U173" s="15" t="n"/>
      <c r="V173" s="15" t="n"/>
      <c r="W173" s="15" t="n"/>
      <c r="X173" s="20" t="n"/>
      <c r="Y173" s="15" t="n"/>
    </row>
    <row r="174">
      <c r="A174" s="15" t="n">
        <v>173</v>
      </c>
      <c r="B174" s="16">
        <f>INT((A174-1)/7)+1</f>
        <v/>
      </c>
      <c r="C174" s="47">
        <f>'Start Here'!$B$5+A174-1</f>
        <v/>
      </c>
      <c r="D174" s="16">
        <f>TEXT(C174,"ddd")</f>
        <v/>
      </c>
      <c r="E174" s="15" t="inlineStr">
        <is>
          <t>Science Friday</t>
        </is>
      </c>
      <c r="F174" s="24" t="inlineStr">
        <is>
          <t>🚀 Science for Kids</t>
        </is>
      </c>
      <c r="G174" s="15" t="n">
        <v>25</v>
      </c>
      <c r="H174" s="15" t="inlineStr">
        <is>
          <t>How Do Plants Eat?</t>
        </is>
      </c>
      <c r="I174" s="15" t="inlineStr">
        <is>
          <t>How Do Plants Eat? 🚀 | Science for Kids | Tiny Sparks</t>
        </is>
      </c>
      <c r="J174" s="15" t="inlineStr">
        <is>
          <t>3–5</t>
        </is>
      </c>
      <c r="K174" s="15" t="inlineStr">
        <is>
          <t>Short 9:16</t>
        </is>
      </c>
      <c r="L174" s="15" t="inlineStr">
        <is>
          <t>45–60 s</t>
        </is>
      </c>
      <c r="M174" s="15" t="inlineStr">
        <is>
          <t>Prof. Hoot + Leo (wrong guess) + Mila</t>
        </is>
      </c>
      <c r="N174" s="15" t="inlineStr">
        <is>
          <t>Answer simply: How Do Plants Eat?</t>
        </is>
      </c>
      <c r="O174" s="15" t="inlineStr">
        <is>
          <t>Yes</t>
        </is>
      </c>
      <c r="P174" s="15" t="inlineStr">
        <is>
          <t>P2</t>
        </is>
      </c>
      <c r="Q174" s="15" t="inlineStr">
        <is>
          <t>Idea</t>
        </is>
      </c>
      <c r="R174" s="48">
        <f>INDEX('Start Here'!$B$10:$B$16,WEEKDAY(C174,2))</f>
        <v/>
      </c>
      <c r="S174" s="48">
        <f>MOD(R174+'Start Here'!$B$6/24,1)</f>
        <v/>
      </c>
      <c r="T174" s="15" t="n"/>
      <c r="U174" s="15" t="n"/>
      <c r="V174" s="15" t="n"/>
      <c r="W174" s="15" t="n"/>
      <c r="X174" s="20" t="n"/>
      <c r="Y174" s="15" t="n"/>
    </row>
    <row r="175">
      <c r="A175" s="15" t="n">
        <v>174</v>
      </c>
      <c r="B175" s="16">
        <f>INT((A175-1)/7)+1</f>
        <v/>
      </c>
      <c r="C175" s="47">
        <f>'Start Here'!$B$5+A175-1</f>
        <v/>
      </c>
      <c r="D175" s="16">
        <f>TEXT(C175,"ddd")</f>
        <v/>
      </c>
      <c r="E175" s="15" t="inlineStr">
        <is>
          <t>Puzzle Saturday</t>
        </is>
      </c>
      <c r="F175" s="25" t="inlineStr">
        <is>
          <t>🧩 Puzzles &amp; Problem-Solving</t>
        </is>
      </c>
      <c r="G175" s="15" t="n">
        <v>25</v>
      </c>
      <c r="H175" s="15" t="inlineStr">
        <is>
          <t>Help the Monkey Find the Banana</t>
        </is>
      </c>
      <c r="I175" s="15" t="inlineStr">
        <is>
          <t>Help the Monkey Find the Banana 🧩 | Brain Games for Kids | Tiny Sparks</t>
        </is>
      </c>
      <c r="J175" s="15" t="inlineStr">
        <is>
          <t>3–5</t>
        </is>
      </c>
      <c r="K175" s="15" t="inlineStr">
        <is>
          <t>Short 9:16</t>
        </is>
      </c>
      <c r="L175" s="15" t="inlineStr">
        <is>
          <t>45–60 s</t>
        </is>
      </c>
      <c r="M175" s="15" t="inlineStr">
        <is>
          <t>Prof. Hoot + Leo + score strip</t>
        </is>
      </c>
      <c r="N175" s="15" t="inlineStr">
        <is>
          <t>Thinking skill: observation</t>
        </is>
      </c>
      <c r="O175" s="15" t="inlineStr">
        <is>
          <t>Build first: monkey</t>
        </is>
      </c>
      <c r="P175" s="15" t="inlineStr">
        <is>
          <t>P2</t>
        </is>
      </c>
      <c r="Q175" s="15" t="inlineStr">
        <is>
          <t>Idea</t>
        </is>
      </c>
      <c r="R175" s="48">
        <f>INDEX('Start Here'!$B$10:$B$16,WEEKDAY(C175,2))</f>
        <v/>
      </c>
      <c r="S175" s="48">
        <f>MOD(R175+'Start Here'!$B$6/24,1)</f>
        <v/>
      </c>
      <c r="T175" s="15" t="n"/>
      <c r="U175" s="15" t="n"/>
      <c r="V175" s="15" t="n"/>
      <c r="W175" s="15" t="n"/>
      <c r="X175" s="20" t="n"/>
      <c r="Y175" s="15" t="n"/>
    </row>
    <row r="176">
      <c r="A176" s="15" t="n">
        <v>175</v>
      </c>
      <c r="B176" s="16">
        <f>INT((A176-1)/7)+1</f>
        <v/>
      </c>
      <c r="C176" s="47">
        <f>'Start Here'!$B$5+A176-1</f>
        <v/>
      </c>
      <c r="D176" s="16">
        <f>TEXT(C176,"ddd")</f>
        <v/>
      </c>
      <c r="E176" s="15" t="inlineStr">
        <is>
          <t>Song Sunday</t>
        </is>
      </c>
      <c r="F176" s="26" t="inlineStr">
        <is>
          <t>🎵 Educational Songs</t>
        </is>
      </c>
      <c r="G176" s="15" t="n">
        <v>25</v>
      </c>
      <c r="H176" s="15" t="inlineStr">
        <is>
          <t>Insects Song</t>
        </is>
      </c>
      <c r="I176" s="15" t="inlineStr">
        <is>
          <t>Insects Song 🎵 | Kids Songs | Tiny Sparks</t>
        </is>
      </c>
      <c r="J176" s="15" t="inlineStr">
        <is>
          <t>3–5</t>
        </is>
      </c>
      <c r="K176" s="15" t="inlineStr">
        <is>
          <t>Long 16:9 + Short cut</t>
        </is>
      </c>
      <c r="L176" s="15" t="inlineStr">
        <is>
          <t>2–3 min (Short: 45 s chorus)</t>
        </is>
      </c>
      <c r="M176" s="15" t="inlineStr">
        <is>
          <t>Mila sings, all dance</t>
        </is>
      </c>
      <c r="N176" s="15" t="inlineStr">
        <is>
          <t>Sing &amp; learn: Insects</t>
        </is>
      </c>
      <c r="O176" s="15" t="inlineStr">
        <is>
          <t>Build first: insects</t>
        </is>
      </c>
      <c r="P176" s="15" t="inlineStr">
        <is>
          <t>P2</t>
        </is>
      </c>
      <c r="Q176" s="15" t="inlineStr">
        <is>
          <t>Idea</t>
        </is>
      </c>
      <c r="R176" s="48">
        <f>INDEX('Start Here'!$B$10:$B$16,WEEKDAY(C176,2))</f>
        <v/>
      </c>
      <c r="S176" s="48">
        <f>MOD(R176+'Start Here'!$B$6/24,1)</f>
        <v/>
      </c>
      <c r="T176" s="15" t="n"/>
      <c r="U176" s="15" t="n"/>
      <c r="V176" s="15" t="n"/>
      <c r="W176" s="15" t="n"/>
      <c r="X176" s="20" t="n"/>
      <c r="Y176" s="15" t="n"/>
    </row>
    <row r="177">
      <c r="A177" s="15" t="n">
        <v>176</v>
      </c>
      <c r="B177" s="16">
        <f>INT((A177-1)/7)+1</f>
        <v/>
      </c>
      <c r="C177" s="47">
        <f>'Start Here'!$B$5+A177-1</f>
        <v/>
      </c>
      <c r="D177" s="16">
        <f>TEXT(C177,"ddd")</f>
        <v/>
      </c>
      <c r="E177" s="15" t="inlineStr">
        <is>
          <t>Story Monday</t>
        </is>
      </c>
      <c r="F177" s="27" t="inlineStr">
        <is>
          <t>📚 Moral Stories</t>
        </is>
      </c>
      <c r="G177" s="15" t="n">
        <v>13</v>
      </c>
      <c r="H177" s="15" t="inlineStr">
        <is>
          <t>The Three Little Helpers</t>
        </is>
      </c>
      <c r="I177" s="15" t="inlineStr">
        <is>
          <t>The Three Little Helpers 📚 | Moral Stories for Kids | Tiny Sparks</t>
        </is>
      </c>
      <c r="J177" s="15" t="inlineStr">
        <is>
          <t>3–5</t>
        </is>
      </c>
      <c r="K177" s="15" t="inlineStr">
        <is>
          <t>Long 16:9 + Short teaser</t>
        </is>
      </c>
      <c r="L177" s="15" t="inlineStr">
        <is>
          <t>3–5 min (Short: 50 s)</t>
        </is>
      </c>
      <c r="M177" s="15" t="inlineStr">
        <is>
          <t>narrator + guest animals / Mila &amp; Leo</t>
        </is>
      </c>
      <c r="N177" s="15" t="inlineStr">
        <is>
          <t>Value: helping others</t>
        </is>
      </c>
      <c r="O177" s="15" t="inlineStr">
        <is>
          <t>Yes</t>
        </is>
      </c>
      <c r="P177" s="15" t="inlineStr">
        <is>
          <t>P2</t>
        </is>
      </c>
      <c r="Q177" s="15" t="inlineStr">
        <is>
          <t>Idea</t>
        </is>
      </c>
      <c r="R177" s="48">
        <f>INDEX('Start Here'!$B$10:$B$16,WEEKDAY(C177,2))</f>
        <v/>
      </c>
      <c r="S177" s="48">
        <f>MOD(R177+'Start Here'!$B$6/24,1)</f>
        <v/>
      </c>
      <c r="T177" s="15" t="n"/>
      <c r="U177" s="15" t="n"/>
      <c r="V177" s="15" t="n"/>
      <c r="W177" s="15" t="n"/>
      <c r="X177" s="20" t="n"/>
      <c r="Y177" s="15" t="n"/>
    </row>
    <row r="178">
      <c r="A178" s="15" t="n">
        <v>177</v>
      </c>
      <c r="B178" s="16">
        <f>INT((A178-1)/7)+1</f>
        <v/>
      </c>
      <c r="C178" s="47">
        <f>'Start Here'!$B$5+A178-1</f>
        <v/>
      </c>
      <c r="D178" s="16">
        <f>TEXT(C178,"ddd")</f>
        <v/>
      </c>
      <c r="E178" s="15" t="inlineStr">
        <is>
          <t>Math Tuesday</t>
        </is>
      </c>
      <c r="F178" s="21" t="inlineStr">
        <is>
          <t>🔢 Numbers &amp; Math</t>
        </is>
      </c>
      <c r="G178" s="15" t="n">
        <v>26</v>
      </c>
      <c r="H178" s="15" t="inlineStr">
        <is>
          <t>Skip Counting by 5</t>
        </is>
      </c>
      <c r="I178" s="15" t="inlineStr">
        <is>
          <t>Skip Counting by 5 🔢 | Learn Math for Kids | Tiny Sparks</t>
        </is>
      </c>
      <c r="J178" s="15" t="inlineStr">
        <is>
          <t>6–8</t>
        </is>
      </c>
      <c r="K178" s="15" t="inlineStr">
        <is>
          <t>Short 9:16</t>
        </is>
      </c>
      <c r="L178" s="15" t="inlineStr">
        <is>
          <t>45–60 s</t>
        </is>
      </c>
      <c r="M178" s="15" t="inlineStr">
        <is>
          <t>Bobo + Mila (counting fingers)</t>
        </is>
      </c>
      <c r="N178" s="15" t="inlineStr">
        <is>
          <t>Math: Skip Counting by 5</t>
        </is>
      </c>
      <c r="O178" s="15" t="inlineStr">
        <is>
          <t>Yes</t>
        </is>
      </c>
      <c r="P178" s="15" t="inlineStr">
        <is>
          <t>P2</t>
        </is>
      </c>
      <c r="Q178" s="15" t="inlineStr">
        <is>
          <t>Idea</t>
        </is>
      </c>
      <c r="R178" s="48">
        <f>INDEX('Start Here'!$B$10:$B$16,WEEKDAY(C178,2))</f>
        <v/>
      </c>
      <c r="S178" s="48">
        <f>MOD(R178+'Start Here'!$B$6/24,1)</f>
        <v/>
      </c>
      <c r="T178" s="15" t="n"/>
      <c r="U178" s="15" t="n"/>
      <c r="V178" s="15" t="n"/>
      <c r="W178" s="15" t="n"/>
      <c r="X178" s="20" t="n"/>
      <c r="Y178" s="15" t="n"/>
    </row>
    <row r="179">
      <c r="A179" s="15" t="n">
        <v>178</v>
      </c>
      <c r="B179" s="16">
        <f>INT((A179-1)/7)+1</f>
        <v/>
      </c>
      <c r="C179" s="47">
        <f>'Start Here'!$B$5+A179-1</f>
        <v/>
      </c>
      <c r="D179" s="16">
        <f>TEXT(C179,"ddd")</f>
        <v/>
      </c>
      <c r="E179" s="15" t="inlineStr">
        <is>
          <t>Word Wednesday</t>
        </is>
      </c>
      <c r="F179" s="22" t="inlineStr">
        <is>
          <t>🔤 English/French Words</t>
        </is>
      </c>
      <c r="G179" s="15" t="n">
        <v>26</v>
      </c>
      <c r="H179" s="15" t="inlineStr">
        <is>
          <t>Months of the Year</t>
        </is>
      </c>
      <c r="I179" s="15" t="inlineStr">
        <is>
          <t>Months of the Year 🔤 | Kids Vocabulary | Tiny Sparks</t>
        </is>
      </c>
      <c r="J179" s="15" t="inlineStr">
        <is>
          <t>6–8</t>
        </is>
      </c>
      <c r="K179" s="15" t="inlineStr">
        <is>
          <t>Short 9:16</t>
        </is>
      </c>
      <c r="L179" s="15" t="inlineStr">
        <is>
          <t>45–60 s</t>
        </is>
      </c>
      <c r="M179" s="15" t="inlineStr">
        <is>
          <t>Mila + French narrator</t>
        </is>
      </c>
      <c r="N179" s="15" t="inlineStr">
        <is>
          <t>Vocabulary EN→FR: Months of the Year</t>
        </is>
      </c>
      <c r="O179" s="15" t="inlineStr">
        <is>
          <t>Yes</t>
        </is>
      </c>
      <c r="P179" s="15" t="inlineStr">
        <is>
          <t>P2</t>
        </is>
      </c>
      <c r="Q179" s="15" t="inlineStr">
        <is>
          <t>Idea</t>
        </is>
      </c>
      <c r="R179" s="48">
        <f>INDEX('Start Here'!$B$10:$B$16,WEEKDAY(C179,2))</f>
        <v/>
      </c>
      <c r="S179" s="48">
        <f>MOD(R179+'Start Here'!$B$6/24,1)</f>
        <v/>
      </c>
      <c r="T179" s="15" t="n"/>
      <c r="U179" s="15" t="n"/>
      <c r="V179" s="15" t="n"/>
      <c r="W179" s="15" t="n"/>
      <c r="X179" s="20" t="n"/>
      <c r="Y179" s="15" t="n"/>
    </row>
    <row r="180">
      <c r="A180" s="15" t="n">
        <v>179</v>
      </c>
      <c r="B180" s="16">
        <f>INT((A180-1)/7)+1</f>
        <v/>
      </c>
      <c r="C180" s="47">
        <f>'Start Here'!$B$5+A180-1</f>
        <v/>
      </c>
      <c r="D180" s="16">
        <f>TEXT(C180,"ddd")</f>
        <v/>
      </c>
      <c r="E180" s="15" t="inlineStr">
        <is>
          <t>Animal Thursday</t>
        </is>
      </c>
      <c r="F180" s="23" t="inlineStr">
        <is>
          <t>🦁 Animal Stories</t>
        </is>
      </c>
      <c r="G180" s="15" t="n">
        <v>26</v>
      </c>
      <c r="H180" s="15" t="inlineStr">
        <is>
          <t>The Crocodile Who Needed Help</t>
        </is>
      </c>
      <c r="I180" s="15" t="inlineStr">
        <is>
          <t>The Crocodile Who Needed Help 🦁 | Animal Stories for Kids | Tiny Sparks</t>
        </is>
      </c>
      <c r="J180" s="15" t="inlineStr">
        <is>
          <t>3–5</t>
        </is>
      </c>
      <c r="K180" s="15" t="inlineStr">
        <is>
          <t>Long 16:9 + Short teaser</t>
        </is>
      </c>
      <c r="L180" s="15" t="inlineStr">
        <is>
          <t>3–5 min (Short: 50 s)</t>
        </is>
      </c>
      <c r="M180" s="15" t="inlineStr">
        <is>
          <t>guest animal(s) + Bobo</t>
        </is>
      </c>
      <c r="N180" s="15" t="inlineStr">
        <is>
          <t>Story + 3 true animal facts; value: helping others</t>
        </is>
      </c>
      <c r="O180" s="15" t="inlineStr">
        <is>
          <t>Build first: crocodile</t>
        </is>
      </c>
      <c r="P180" s="15" t="inlineStr">
        <is>
          <t>P2</t>
        </is>
      </c>
      <c r="Q180" s="15" t="inlineStr">
        <is>
          <t>Idea</t>
        </is>
      </c>
      <c r="R180" s="48">
        <f>INDEX('Start Here'!$B$10:$B$16,WEEKDAY(C180,2))</f>
        <v/>
      </c>
      <c r="S180" s="48">
        <f>MOD(R180+'Start Here'!$B$6/24,1)</f>
        <v/>
      </c>
      <c r="T180" s="15" t="n"/>
      <c r="U180" s="15" t="n"/>
      <c r="V180" s="15" t="n"/>
      <c r="W180" s="15" t="n"/>
      <c r="X180" s="20" t="n"/>
      <c r="Y180" s="15" t="n"/>
    </row>
    <row r="181">
      <c r="A181" s="15" t="n">
        <v>180</v>
      </c>
      <c r="B181" s="16">
        <f>INT((A181-1)/7)+1</f>
        <v/>
      </c>
      <c r="C181" s="47">
        <f>'Start Here'!$B$5+A181-1</f>
        <v/>
      </c>
      <c r="D181" s="16">
        <f>TEXT(C181,"ddd")</f>
        <v/>
      </c>
      <c r="E181" s="15" t="inlineStr">
        <is>
          <t>Science Friday</t>
        </is>
      </c>
      <c r="F181" s="24" t="inlineStr">
        <is>
          <t>🚀 Science for Kids</t>
        </is>
      </c>
      <c r="G181" s="15" t="n">
        <v>26</v>
      </c>
      <c r="H181" s="15" t="inlineStr">
        <is>
          <t>How Do Trees Grow?</t>
        </is>
      </c>
      <c r="I181" s="15" t="inlineStr">
        <is>
          <t>How Do Trees Grow? 🚀 | Science for Kids | Tiny Sparks</t>
        </is>
      </c>
      <c r="J181" s="15" t="inlineStr">
        <is>
          <t>3–5</t>
        </is>
      </c>
      <c r="K181" s="15" t="inlineStr">
        <is>
          <t>Short 9:16</t>
        </is>
      </c>
      <c r="L181" s="15" t="inlineStr">
        <is>
          <t>45–60 s</t>
        </is>
      </c>
      <c r="M181" s="15" t="inlineStr">
        <is>
          <t>Prof. Hoot + Leo (wrong guess) + Mila</t>
        </is>
      </c>
      <c r="N181" s="15" t="inlineStr">
        <is>
          <t>Answer simply: How Do Trees Grow?</t>
        </is>
      </c>
      <c r="O181" s="15" t="inlineStr">
        <is>
          <t>Yes</t>
        </is>
      </c>
      <c r="P181" s="15" t="inlineStr">
        <is>
          <t>P2</t>
        </is>
      </c>
      <c r="Q181" s="15" t="inlineStr">
        <is>
          <t>Idea</t>
        </is>
      </c>
      <c r="R181" s="48">
        <f>INDEX('Start Here'!$B$10:$B$16,WEEKDAY(C181,2))</f>
        <v/>
      </c>
      <c r="S181" s="48">
        <f>MOD(R181+'Start Here'!$B$6/24,1)</f>
        <v/>
      </c>
      <c r="T181" s="15" t="n"/>
      <c r="U181" s="15" t="n"/>
      <c r="V181" s="15" t="n"/>
      <c r="W181" s="15" t="n"/>
      <c r="X181" s="20" t="n"/>
      <c r="Y181" s="15" t="n"/>
    </row>
    <row r="182">
      <c r="A182" s="15" t="n">
        <v>181</v>
      </c>
      <c r="B182" s="16">
        <f>INT((A182-1)/7)+1</f>
        <v/>
      </c>
      <c r="C182" s="47">
        <f>'Start Here'!$B$5+A182-1</f>
        <v/>
      </c>
      <c r="D182" s="16">
        <f>TEXT(C182,"ddd")</f>
        <v/>
      </c>
      <c r="E182" s="15" t="inlineStr">
        <is>
          <t>Puzzle Saturday</t>
        </is>
      </c>
      <c r="F182" s="25" t="inlineStr">
        <is>
          <t>🧩 Puzzles &amp; Problem-Solving</t>
        </is>
      </c>
      <c r="G182" s="15" t="n">
        <v>26</v>
      </c>
      <c r="H182" s="15" t="inlineStr">
        <is>
          <t>Help the Turtle Cross the River</t>
        </is>
      </c>
      <c r="I182" s="15" t="inlineStr">
        <is>
          <t>Help the Turtle Cross the River 🧩 | Brain Games for Kids | Tiny Sparks</t>
        </is>
      </c>
      <c r="J182" s="15" t="inlineStr">
        <is>
          <t>3–5</t>
        </is>
      </c>
      <c r="K182" s="15" t="inlineStr">
        <is>
          <t>Short 9:16</t>
        </is>
      </c>
      <c r="L182" s="15" t="inlineStr">
        <is>
          <t>45–60 s</t>
        </is>
      </c>
      <c r="M182" s="15" t="inlineStr">
        <is>
          <t>Prof. Hoot + Leo + score strip</t>
        </is>
      </c>
      <c r="N182" s="15" t="inlineStr">
        <is>
          <t>Thinking skill: spatial thinking</t>
        </is>
      </c>
      <c r="O182" s="15" t="inlineStr">
        <is>
          <t>Build first: turtle</t>
        </is>
      </c>
      <c r="P182" s="15" t="inlineStr">
        <is>
          <t>P2</t>
        </is>
      </c>
      <c r="Q182" s="15" t="inlineStr">
        <is>
          <t>Idea</t>
        </is>
      </c>
      <c r="R182" s="48">
        <f>INDEX('Start Here'!$B$10:$B$16,WEEKDAY(C182,2))</f>
        <v/>
      </c>
      <c r="S182" s="48">
        <f>MOD(R182+'Start Here'!$B$6/24,1)</f>
        <v/>
      </c>
      <c r="T182" s="15" t="n"/>
      <c r="U182" s="15" t="n"/>
      <c r="V182" s="15" t="n"/>
      <c r="W182" s="15" t="n"/>
      <c r="X182" s="20" t="n"/>
      <c r="Y182" s="15" t="n"/>
    </row>
    <row r="183">
      <c r="A183" s="15" t="n">
        <v>182</v>
      </c>
      <c r="B183" s="16">
        <f>INT((A183-1)/7)+1</f>
        <v/>
      </c>
      <c r="C183" s="47">
        <f>'Start Here'!$B$5+A183-1</f>
        <v/>
      </c>
      <c r="D183" s="16">
        <f>TEXT(C183,"ddd")</f>
        <v/>
      </c>
      <c r="E183" s="15" t="inlineStr">
        <is>
          <t>Song Sunday</t>
        </is>
      </c>
      <c r="F183" s="26" t="inlineStr">
        <is>
          <t>🎵 Educational Songs</t>
        </is>
      </c>
      <c r="G183" s="15" t="n">
        <v>26</v>
      </c>
      <c r="H183" s="15" t="inlineStr">
        <is>
          <t>Birds Song</t>
        </is>
      </c>
      <c r="I183" s="15" t="inlineStr">
        <is>
          <t>Birds Song 🎵 | Kids Songs | Tiny Sparks</t>
        </is>
      </c>
      <c r="J183" s="15" t="inlineStr">
        <is>
          <t>3–5</t>
        </is>
      </c>
      <c r="K183" s="15" t="inlineStr">
        <is>
          <t>Long 16:9 + Short cut</t>
        </is>
      </c>
      <c r="L183" s="15" t="inlineStr">
        <is>
          <t>2–3 min (Short: 45 s chorus)</t>
        </is>
      </c>
      <c r="M183" s="15" t="inlineStr">
        <is>
          <t>Mila sings, all dance</t>
        </is>
      </c>
      <c r="N183" s="15" t="inlineStr">
        <is>
          <t>Sing &amp; learn: Birds</t>
        </is>
      </c>
      <c r="O183" s="15" t="inlineStr">
        <is>
          <t>Build first: birds</t>
        </is>
      </c>
      <c r="P183" s="15" t="inlineStr">
        <is>
          <t>P2</t>
        </is>
      </c>
      <c r="Q183" s="15" t="inlineStr">
        <is>
          <t>Idea</t>
        </is>
      </c>
      <c r="R183" s="48">
        <f>INDEX('Start Here'!$B$10:$B$16,WEEKDAY(C183,2))</f>
        <v/>
      </c>
      <c r="S183" s="48">
        <f>MOD(R183+'Start Here'!$B$6/24,1)</f>
        <v/>
      </c>
      <c r="T183" s="15" t="n"/>
      <c r="U183" s="15" t="n"/>
      <c r="V183" s="15" t="n"/>
      <c r="W183" s="15" t="n"/>
      <c r="X183" s="20" t="n"/>
      <c r="Y183" s="15" t="n"/>
    </row>
    <row r="184">
      <c r="A184" s="15" t="n">
        <v>183</v>
      </c>
      <c r="B184" s="16">
        <f>INT((A184-1)/7)+1</f>
        <v/>
      </c>
      <c r="C184" s="47">
        <f>'Start Here'!$B$5+A184-1</f>
        <v/>
      </c>
      <c r="D184" s="16">
        <f>TEXT(C184,"ddd")</f>
        <v/>
      </c>
      <c r="E184" s="15" t="inlineStr">
        <is>
          <t>Story Monday</t>
        </is>
      </c>
      <c r="F184" s="18" t="inlineStr">
        <is>
          <t>🧠 Educational Stories</t>
        </is>
      </c>
      <c r="G184" s="15" t="n">
        <v>14</v>
      </c>
      <c r="H184" s="15" t="inlineStr">
        <is>
          <t>Benny Learns About Teamwork</t>
        </is>
      </c>
      <c r="I184" s="15" t="inlineStr">
        <is>
          <t>Bobo Learns About Teamwork 🧠 | Kids Stories | Tiny Sparks</t>
        </is>
      </c>
      <c r="J184" s="15" t="inlineStr">
        <is>
          <t>3–5</t>
        </is>
      </c>
      <c r="K184" s="15" t="inlineStr">
        <is>
          <t>Long 16:9 + Short teaser</t>
        </is>
      </c>
      <c r="L184" s="15" t="inlineStr">
        <is>
          <t>3–5 min (Short: 50 s)</t>
        </is>
      </c>
      <c r="M184" s="15" t="inlineStr">
        <is>
          <t>Bobo (lead) · Mila, Leo, Bobo + narrator</t>
        </is>
      </c>
      <c r="N184" s="15" t="inlineStr">
        <is>
          <t>Life skill: Teamwork</t>
        </is>
      </c>
      <c r="O184" s="15" t="inlineStr">
        <is>
          <t>Yes</t>
        </is>
      </c>
      <c r="P184" s="15" t="inlineStr">
        <is>
          <t>P2</t>
        </is>
      </c>
      <c r="Q184" s="15" t="inlineStr">
        <is>
          <t>Idea</t>
        </is>
      </c>
      <c r="R184" s="48">
        <f>INDEX('Start Here'!$B$10:$B$16,WEEKDAY(C184,2))</f>
        <v/>
      </c>
      <c r="S184" s="48">
        <f>MOD(R184+'Start Here'!$B$6/24,1)</f>
        <v/>
      </c>
      <c r="T184" s="15" t="n"/>
      <c r="U184" s="15" t="n"/>
      <c r="V184" s="15" t="n"/>
      <c r="W184" s="15" t="n"/>
      <c r="X184" s="20" t="n"/>
      <c r="Y184" s="15" t="n"/>
    </row>
    <row r="185">
      <c r="A185" s="15" t="n">
        <v>184</v>
      </c>
      <c r="B185" s="16">
        <f>INT((A185-1)/7)+1</f>
        <v/>
      </c>
      <c r="C185" s="47">
        <f>'Start Here'!$B$5+A185-1</f>
        <v/>
      </c>
      <c r="D185" s="16">
        <f>TEXT(C185,"ddd")</f>
        <v/>
      </c>
      <c r="E185" s="15" t="inlineStr">
        <is>
          <t>Math Tuesday</t>
        </is>
      </c>
      <c r="F185" s="21" t="inlineStr">
        <is>
          <t>🔢 Numbers &amp; Math</t>
        </is>
      </c>
      <c r="G185" s="15" t="n">
        <v>27</v>
      </c>
      <c r="H185" s="15" t="inlineStr">
        <is>
          <t>Skip Counting by 10</t>
        </is>
      </c>
      <c r="I185" s="15" t="inlineStr">
        <is>
          <t>Skip Counting by 10 🔢 | Learn Math for Kids | Tiny Sparks</t>
        </is>
      </c>
      <c r="J185" s="15" t="inlineStr">
        <is>
          <t>6–8</t>
        </is>
      </c>
      <c r="K185" s="15" t="inlineStr">
        <is>
          <t>Short 9:16</t>
        </is>
      </c>
      <c r="L185" s="15" t="inlineStr">
        <is>
          <t>45–60 s</t>
        </is>
      </c>
      <c r="M185" s="15" t="inlineStr">
        <is>
          <t>Bobo + Mila (counting fingers)</t>
        </is>
      </c>
      <c r="N185" s="15" t="inlineStr">
        <is>
          <t>Math: Skip Counting by 10</t>
        </is>
      </c>
      <c r="O185" s="15" t="inlineStr">
        <is>
          <t>Yes</t>
        </is>
      </c>
      <c r="P185" s="15" t="inlineStr">
        <is>
          <t>P2</t>
        </is>
      </c>
      <c r="Q185" s="15" t="inlineStr">
        <is>
          <t>Idea</t>
        </is>
      </c>
      <c r="R185" s="48">
        <f>INDEX('Start Here'!$B$10:$B$16,WEEKDAY(C185,2))</f>
        <v/>
      </c>
      <c r="S185" s="48">
        <f>MOD(R185+'Start Here'!$B$6/24,1)</f>
        <v/>
      </c>
      <c r="T185" s="15" t="n"/>
      <c r="U185" s="15" t="n"/>
      <c r="V185" s="15" t="n"/>
      <c r="W185" s="15" t="n"/>
      <c r="X185" s="20" t="n"/>
      <c r="Y185" s="15" t="n"/>
    </row>
    <row r="186">
      <c r="A186" s="15" t="n">
        <v>185</v>
      </c>
      <c r="B186" s="16">
        <f>INT((A186-1)/7)+1</f>
        <v/>
      </c>
      <c r="C186" s="47">
        <f>'Start Here'!$B$5+A186-1</f>
        <v/>
      </c>
      <c r="D186" s="16">
        <f>TEXT(C186,"ddd")</f>
        <v/>
      </c>
      <c r="E186" s="15" t="inlineStr">
        <is>
          <t>Word Wednesday</t>
        </is>
      </c>
      <c r="F186" s="22" t="inlineStr">
        <is>
          <t>🔤 English/French Words</t>
        </is>
      </c>
      <c r="G186" s="15" t="n">
        <v>27</v>
      </c>
      <c r="H186" s="15" t="inlineStr">
        <is>
          <t>Morning Routine Vocabulary</t>
        </is>
      </c>
      <c r="I186" s="15" t="inlineStr">
        <is>
          <t>Morning Routine Vocabulary 🔤 | Kids Vocabulary | Tiny Sparks</t>
        </is>
      </c>
      <c r="J186" s="15" t="inlineStr">
        <is>
          <t>3–5</t>
        </is>
      </c>
      <c r="K186" s="15" t="inlineStr">
        <is>
          <t>Short 9:16</t>
        </is>
      </c>
      <c r="L186" s="15" t="inlineStr">
        <is>
          <t>45–60 s</t>
        </is>
      </c>
      <c r="M186" s="15" t="inlineStr">
        <is>
          <t>Mila + French narrator</t>
        </is>
      </c>
      <c r="N186" s="15" t="inlineStr">
        <is>
          <t>Vocabulary EN→FR: Morning Routine Vocabulary</t>
        </is>
      </c>
      <c r="O186" s="15" t="inlineStr">
        <is>
          <t>Yes</t>
        </is>
      </c>
      <c r="P186" s="15" t="inlineStr">
        <is>
          <t>P2</t>
        </is>
      </c>
      <c r="Q186" s="15" t="inlineStr">
        <is>
          <t>Idea</t>
        </is>
      </c>
      <c r="R186" s="48">
        <f>INDEX('Start Here'!$B$10:$B$16,WEEKDAY(C186,2))</f>
        <v/>
      </c>
      <c r="S186" s="48">
        <f>MOD(R186+'Start Here'!$B$6/24,1)</f>
        <v/>
      </c>
      <c r="T186" s="15" t="n"/>
      <c r="U186" s="15" t="n"/>
      <c r="V186" s="15" t="n"/>
      <c r="W186" s="15" t="n"/>
      <c r="X186" s="20" t="n"/>
      <c r="Y186" s="15" t="n"/>
    </row>
    <row r="187">
      <c r="A187" s="15" t="n">
        <v>186</v>
      </c>
      <c r="B187" s="16">
        <f>INT((A187-1)/7)+1</f>
        <v/>
      </c>
      <c r="C187" s="47">
        <f>'Start Here'!$B$5+A187-1</f>
        <v/>
      </c>
      <c r="D187" s="16">
        <f>TEXT(C187,"ddd")</f>
        <v/>
      </c>
      <c r="E187" s="15" t="inlineStr">
        <is>
          <t>Animal Thursday</t>
        </is>
      </c>
      <c r="F187" s="23" t="inlineStr">
        <is>
          <t>🦁 Animal Stories</t>
        </is>
      </c>
      <c r="G187" s="15" t="n">
        <v>27</v>
      </c>
      <c r="H187" s="15" t="inlineStr">
        <is>
          <t>The Kind Kangaroo</t>
        </is>
      </c>
      <c r="I187" s="15" t="inlineStr">
        <is>
          <t>The Kind Kangaroo 🦁 | Animal Stories for Kids | Tiny Sparks</t>
        </is>
      </c>
      <c r="J187" s="15" t="inlineStr">
        <is>
          <t>3–5</t>
        </is>
      </c>
      <c r="K187" s="15" t="inlineStr">
        <is>
          <t>Long 16:9 + Short teaser</t>
        </is>
      </c>
      <c r="L187" s="15" t="inlineStr">
        <is>
          <t>3–5 min (Short: 50 s)</t>
        </is>
      </c>
      <c r="M187" s="15" t="inlineStr">
        <is>
          <t>guest animal(s) + Bobo</t>
        </is>
      </c>
      <c r="N187" s="15" t="inlineStr">
        <is>
          <t>Story + 3 true animal facts; value: kindness</t>
        </is>
      </c>
      <c r="O187" s="15" t="inlineStr">
        <is>
          <t>Build first: kangaroo</t>
        </is>
      </c>
      <c r="P187" s="15" t="inlineStr">
        <is>
          <t>P2</t>
        </is>
      </c>
      <c r="Q187" s="15" t="inlineStr">
        <is>
          <t>Idea</t>
        </is>
      </c>
      <c r="R187" s="48">
        <f>INDEX('Start Here'!$B$10:$B$16,WEEKDAY(C187,2))</f>
        <v/>
      </c>
      <c r="S187" s="48">
        <f>MOD(R187+'Start Here'!$B$6/24,1)</f>
        <v/>
      </c>
      <c r="T187" s="15" t="n"/>
      <c r="U187" s="15" t="n"/>
      <c r="V187" s="15" t="n"/>
      <c r="W187" s="15" t="n"/>
      <c r="X187" s="20" t="n"/>
      <c r="Y187" s="15" t="n"/>
    </row>
    <row r="188">
      <c r="A188" s="15" t="n">
        <v>187</v>
      </c>
      <c r="B188" s="16">
        <f>INT((A188-1)/7)+1</f>
        <v/>
      </c>
      <c r="C188" s="47">
        <f>'Start Here'!$B$5+A188-1</f>
        <v/>
      </c>
      <c r="D188" s="16">
        <f>TEXT(C188,"ddd")</f>
        <v/>
      </c>
      <c r="E188" s="15" t="inlineStr">
        <is>
          <t>Science Friday</t>
        </is>
      </c>
      <c r="F188" s="24" t="inlineStr">
        <is>
          <t>🚀 Science for Kids</t>
        </is>
      </c>
      <c r="G188" s="15" t="n">
        <v>27</v>
      </c>
      <c r="H188" s="15" t="inlineStr">
        <is>
          <t>Why Are Leaves Green?</t>
        </is>
      </c>
      <c r="I188" s="15" t="inlineStr">
        <is>
          <t>Why Are Leaves Green? 🚀 | Science for Kids | Tiny Sparks</t>
        </is>
      </c>
      <c r="J188" s="15" t="inlineStr">
        <is>
          <t>3–5</t>
        </is>
      </c>
      <c r="K188" s="15" t="inlineStr">
        <is>
          <t>Short 9:16</t>
        </is>
      </c>
      <c r="L188" s="15" t="inlineStr">
        <is>
          <t>45–60 s</t>
        </is>
      </c>
      <c r="M188" s="15" t="inlineStr">
        <is>
          <t>Prof. Hoot + Leo (wrong guess) + Mila</t>
        </is>
      </c>
      <c r="N188" s="15" t="inlineStr">
        <is>
          <t>Answer simply: Why Are Leaves Green?</t>
        </is>
      </c>
      <c r="O188" s="15" t="inlineStr">
        <is>
          <t>Yes</t>
        </is>
      </c>
      <c r="P188" s="15" t="inlineStr">
        <is>
          <t>P2</t>
        </is>
      </c>
      <c r="Q188" s="15" t="inlineStr">
        <is>
          <t>Idea</t>
        </is>
      </c>
      <c r="R188" s="48">
        <f>INDEX('Start Here'!$B$10:$B$16,WEEKDAY(C188,2))</f>
        <v/>
      </c>
      <c r="S188" s="48">
        <f>MOD(R188+'Start Here'!$B$6/24,1)</f>
        <v/>
      </c>
      <c r="T188" s="15" t="n"/>
      <c r="U188" s="15" t="n"/>
      <c r="V188" s="15" t="n"/>
      <c r="W188" s="15" t="n"/>
      <c r="X188" s="20" t="n"/>
      <c r="Y188" s="15" t="n"/>
    </row>
    <row r="189">
      <c r="A189" s="15" t="n">
        <v>188</v>
      </c>
      <c r="B189" s="16">
        <f>INT((A189-1)/7)+1</f>
        <v/>
      </c>
      <c r="C189" s="47">
        <f>'Start Here'!$B$5+A189-1</f>
        <v/>
      </c>
      <c r="D189" s="16">
        <f>TEXT(C189,"ddd")</f>
        <v/>
      </c>
      <c r="E189" s="15" t="inlineStr">
        <is>
          <t>Puzzle Saturday</t>
        </is>
      </c>
      <c r="F189" s="25" t="inlineStr">
        <is>
          <t>🧩 Puzzles &amp; Problem-Solving</t>
        </is>
      </c>
      <c r="G189" s="15" t="n">
        <v>27</v>
      </c>
      <c r="H189" s="15" t="inlineStr">
        <is>
          <t>Help the Bird Find Its Nest</t>
        </is>
      </c>
      <c r="I189" s="15" t="inlineStr">
        <is>
          <t>Help the Bird Find Its Nest 🧩 | Brain Games for Kids | Tiny Sparks</t>
        </is>
      </c>
      <c r="J189" s="15" t="inlineStr">
        <is>
          <t>3–5</t>
        </is>
      </c>
      <c r="K189" s="15" t="inlineStr">
        <is>
          <t>Short 9:16</t>
        </is>
      </c>
      <c r="L189" s="15" t="inlineStr">
        <is>
          <t>45–60 s</t>
        </is>
      </c>
      <c r="M189" s="15" t="inlineStr">
        <is>
          <t>Prof. Hoot + Leo + score strip</t>
        </is>
      </c>
      <c r="N189" s="15" t="inlineStr">
        <is>
          <t>Thinking skill: observation</t>
        </is>
      </c>
      <c r="O189" s="15" t="inlineStr">
        <is>
          <t>Build first: bird</t>
        </is>
      </c>
      <c r="P189" s="15" t="inlineStr">
        <is>
          <t>P2</t>
        </is>
      </c>
      <c r="Q189" s="15" t="inlineStr">
        <is>
          <t>Idea</t>
        </is>
      </c>
      <c r="R189" s="48">
        <f>INDEX('Start Here'!$B$10:$B$16,WEEKDAY(C189,2))</f>
        <v/>
      </c>
      <c r="S189" s="48">
        <f>MOD(R189+'Start Here'!$B$6/24,1)</f>
        <v/>
      </c>
      <c r="T189" s="15" t="n"/>
      <c r="U189" s="15" t="n"/>
      <c r="V189" s="15" t="n"/>
      <c r="W189" s="15" t="n"/>
      <c r="X189" s="20" t="n"/>
      <c r="Y189" s="15" t="n"/>
    </row>
    <row r="190">
      <c r="A190" s="15" t="n">
        <v>189</v>
      </c>
      <c r="B190" s="16">
        <f>INT((A190-1)/7)+1</f>
        <v/>
      </c>
      <c r="C190" s="47">
        <f>'Start Here'!$B$5+A190-1</f>
        <v/>
      </c>
      <c r="D190" s="16">
        <f>TEXT(C190,"ddd")</f>
        <v/>
      </c>
      <c r="E190" s="15" t="inlineStr">
        <is>
          <t>Song Sunday</t>
        </is>
      </c>
      <c r="F190" s="26" t="inlineStr">
        <is>
          <t>🎵 Educational Songs</t>
        </is>
      </c>
      <c r="G190" s="15" t="n">
        <v>27</v>
      </c>
      <c r="H190" s="15" t="inlineStr">
        <is>
          <t>Dinosaur Song</t>
        </is>
      </c>
      <c r="I190" s="15" t="inlineStr">
        <is>
          <t>Dinosaur Song 🎵 | Kids Songs | Tiny Sparks</t>
        </is>
      </c>
      <c r="J190" s="15" t="inlineStr">
        <is>
          <t>6–8</t>
        </is>
      </c>
      <c r="K190" s="15" t="inlineStr">
        <is>
          <t>Long 16:9 + Short cut</t>
        </is>
      </c>
      <c r="L190" s="15" t="inlineStr">
        <is>
          <t>2–3 min (Short: 45 s chorus)</t>
        </is>
      </c>
      <c r="M190" s="15" t="inlineStr">
        <is>
          <t>Mila sings, all dance</t>
        </is>
      </c>
      <c r="N190" s="15" t="inlineStr">
        <is>
          <t>Sing &amp; learn: Dinosaur</t>
        </is>
      </c>
      <c r="O190" s="15" t="inlineStr">
        <is>
          <t>Build first: dinosaur</t>
        </is>
      </c>
      <c r="P190" s="15" t="inlineStr">
        <is>
          <t>P2</t>
        </is>
      </c>
      <c r="Q190" s="15" t="inlineStr">
        <is>
          <t>Idea</t>
        </is>
      </c>
      <c r="R190" s="48">
        <f>INDEX('Start Here'!$B$10:$B$16,WEEKDAY(C190,2))</f>
        <v/>
      </c>
      <c r="S190" s="48">
        <f>MOD(R190+'Start Here'!$B$6/24,1)</f>
        <v/>
      </c>
      <c r="T190" s="15" t="n"/>
      <c r="U190" s="15" t="n"/>
      <c r="V190" s="15" t="n"/>
      <c r="W190" s="15" t="n"/>
      <c r="X190" s="20" t="n"/>
      <c r="Y190" s="15" t="n"/>
    </row>
    <row r="191">
      <c r="A191" s="15" t="n">
        <v>190</v>
      </c>
      <c r="B191" s="16">
        <f>INT((A191-1)/7)+1</f>
        <v/>
      </c>
      <c r="C191" s="47">
        <f>'Start Here'!$B$5+A191-1</f>
        <v/>
      </c>
      <c r="D191" s="16">
        <f>TEXT(C191,"ddd")</f>
        <v/>
      </c>
      <c r="E191" s="15" t="inlineStr">
        <is>
          <t>Story Monday</t>
        </is>
      </c>
      <c r="F191" s="27" t="inlineStr">
        <is>
          <t>📚 Moral Stories</t>
        </is>
      </c>
      <c r="G191" s="15" t="n">
        <v>14</v>
      </c>
      <c r="H191" s="15" t="inlineStr">
        <is>
          <t>The Honest Farmer</t>
        </is>
      </c>
      <c r="I191" s="15" t="inlineStr">
        <is>
          <t>The Honest Farmer 📚 | Moral Stories for Kids | Tiny Sparks</t>
        </is>
      </c>
      <c r="J191" s="15" t="inlineStr">
        <is>
          <t>3–5</t>
        </is>
      </c>
      <c r="K191" s="15" t="inlineStr">
        <is>
          <t>Long 16:9 + Short teaser</t>
        </is>
      </c>
      <c r="L191" s="15" t="inlineStr">
        <is>
          <t>3–5 min (Short: 50 s)</t>
        </is>
      </c>
      <c r="M191" s="15" t="inlineStr">
        <is>
          <t>narrator + guest animals / Mila &amp; Leo</t>
        </is>
      </c>
      <c r="N191" s="15" t="inlineStr">
        <is>
          <t>Value: honesty</t>
        </is>
      </c>
      <c r="O191" s="15" t="inlineStr">
        <is>
          <t>Yes</t>
        </is>
      </c>
      <c r="P191" s="15" t="inlineStr">
        <is>
          <t>P2</t>
        </is>
      </c>
      <c r="Q191" s="15" t="inlineStr">
        <is>
          <t>Idea</t>
        </is>
      </c>
      <c r="R191" s="48">
        <f>INDEX('Start Here'!$B$10:$B$16,WEEKDAY(C191,2))</f>
        <v/>
      </c>
      <c r="S191" s="48">
        <f>MOD(R191+'Start Here'!$B$6/24,1)</f>
        <v/>
      </c>
      <c r="T191" s="15" t="n"/>
      <c r="U191" s="15" t="n"/>
      <c r="V191" s="15" t="n"/>
      <c r="W191" s="15" t="n"/>
      <c r="X191" s="20" t="n"/>
      <c r="Y191" s="15" t="n"/>
    </row>
    <row r="192">
      <c r="A192" s="15" t="n">
        <v>191</v>
      </c>
      <c r="B192" s="16">
        <f>INT((A192-1)/7)+1</f>
        <v/>
      </c>
      <c r="C192" s="47">
        <f>'Start Here'!$B$5+A192-1</f>
        <v/>
      </c>
      <c r="D192" s="16">
        <f>TEXT(C192,"ddd")</f>
        <v/>
      </c>
      <c r="E192" s="15" t="inlineStr">
        <is>
          <t>Math Tuesday</t>
        </is>
      </c>
      <c r="F192" s="21" t="inlineStr">
        <is>
          <t>🔢 Numbers &amp; Math</t>
        </is>
      </c>
      <c r="G192" s="15" t="n">
        <v>28</v>
      </c>
      <c r="H192" s="15" t="inlineStr">
        <is>
          <t>Odd Numbers for Beginners</t>
        </is>
      </c>
      <c r="I192" s="15" t="inlineStr">
        <is>
          <t>Odd Numbers for Beginners 🔢 | Learn Math for Kids | Tiny Sparks</t>
        </is>
      </c>
      <c r="J192" s="15" t="inlineStr">
        <is>
          <t>6–8</t>
        </is>
      </c>
      <c r="K192" s="15" t="inlineStr">
        <is>
          <t>Short 9:16</t>
        </is>
      </c>
      <c r="L192" s="15" t="inlineStr">
        <is>
          <t>45–60 s</t>
        </is>
      </c>
      <c r="M192" s="15" t="inlineStr">
        <is>
          <t>Bobo + Mila (counting fingers)</t>
        </is>
      </c>
      <c r="N192" s="15" t="inlineStr">
        <is>
          <t>Math: Odd Numbers for Beginners</t>
        </is>
      </c>
      <c r="O192" s="15" t="inlineStr">
        <is>
          <t>Yes</t>
        </is>
      </c>
      <c r="P192" s="15" t="inlineStr">
        <is>
          <t>P2</t>
        </is>
      </c>
      <c r="Q192" s="15" t="inlineStr">
        <is>
          <t>Idea</t>
        </is>
      </c>
      <c r="R192" s="48">
        <f>INDEX('Start Here'!$B$10:$B$16,WEEKDAY(C192,2))</f>
        <v/>
      </c>
      <c r="S192" s="48">
        <f>MOD(R192+'Start Here'!$B$6/24,1)</f>
        <v/>
      </c>
      <c r="T192" s="15" t="n"/>
      <c r="U192" s="15" t="n"/>
      <c r="V192" s="15" t="n"/>
      <c r="W192" s="15" t="n"/>
      <c r="X192" s="20" t="n"/>
      <c r="Y192" s="15" t="n"/>
    </row>
    <row r="193">
      <c r="A193" s="15" t="n">
        <v>192</v>
      </c>
      <c r="B193" s="16">
        <f>INT((A193-1)/7)+1</f>
        <v/>
      </c>
      <c r="C193" s="47">
        <f>'Start Here'!$B$5+A193-1</f>
        <v/>
      </c>
      <c r="D193" s="16">
        <f>TEXT(C193,"ddd")</f>
        <v/>
      </c>
      <c r="E193" s="15" t="inlineStr">
        <is>
          <t>Word Wednesday</t>
        </is>
      </c>
      <c r="F193" s="22" t="inlineStr">
        <is>
          <t>🔤 English/French Words</t>
        </is>
      </c>
      <c r="G193" s="15" t="n">
        <v>28</v>
      </c>
      <c r="H193" s="15" t="inlineStr">
        <is>
          <t>Bedtime Vocabulary</t>
        </is>
      </c>
      <c r="I193" s="15" t="inlineStr">
        <is>
          <t>Bedtime Vocabulary 🔤 | Kids Vocabulary | Tiny Sparks</t>
        </is>
      </c>
      <c r="J193" s="15" t="inlineStr">
        <is>
          <t>6–8</t>
        </is>
      </c>
      <c r="K193" s="15" t="inlineStr">
        <is>
          <t>Short 9:16</t>
        </is>
      </c>
      <c r="L193" s="15" t="inlineStr">
        <is>
          <t>45–60 s</t>
        </is>
      </c>
      <c r="M193" s="15" t="inlineStr">
        <is>
          <t>Mila + French narrator</t>
        </is>
      </c>
      <c r="N193" s="15" t="inlineStr">
        <is>
          <t>Vocabulary EN→FR: Bedtime Vocabulary</t>
        </is>
      </c>
      <c r="O193" s="15" t="inlineStr">
        <is>
          <t>Yes</t>
        </is>
      </c>
      <c r="P193" s="15" t="inlineStr">
        <is>
          <t>P2</t>
        </is>
      </c>
      <c r="Q193" s="15" t="inlineStr">
        <is>
          <t>Idea</t>
        </is>
      </c>
      <c r="R193" s="48">
        <f>INDEX('Start Here'!$B$10:$B$16,WEEKDAY(C193,2))</f>
        <v/>
      </c>
      <c r="S193" s="48">
        <f>MOD(R193+'Start Here'!$B$6/24,1)</f>
        <v/>
      </c>
      <c r="T193" s="15" t="n"/>
      <c r="U193" s="15" t="n"/>
      <c r="V193" s="15" t="n"/>
      <c r="W193" s="15" t="n"/>
      <c r="X193" s="20" t="n"/>
      <c r="Y193" s="15" t="n"/>
    </row>
    <row r="194">
      <c r="A194" s="15" t="n">
        <v>193</v>
      </c>
      <c r="B194" s="16">
        <f>INT((A194-1)/7)+1</f>
        <v/>
      </c>
      <c r="C194" s="47">
        <f>'Start Here'!$B$5+A194-1</f>
        <v/>
      </c>
      <c r="D194" s="16">
        <f>TEXT(C194,"ddd")</f>
        <v/>
      </c>
      <c r="E194" s="15" t="inlineStr">
        <is>
          <t>Animal Thursday</t>
        </is>
      </c>
      <c r="F194" s="23" t="inlineStr">
        <is>
          <t>🦁 Animal Stories</t>
        </is>
      </c>
      <c r="G194" s="15" t="n">
        <v>28</v>
      </c>
      <c r="H194" s="15" t="inlineStr">
        <is>
          <t>The Parrot Who Learned New Words</t>
        </is>
      </c>
      <c r="I194" s="15" t="inlineStr">
        <is>
          <t>The Parrot Who Learned New Words 🦁 | Animal Stories for Kids | Tiny Sparks</t>
        </is>
      </c>
      <c r="J194" s="15" t="inlineStr">
        <is>
          <t>3–5</t>
        </is>
      </c>
      <c r="K194" s="15" t="inlineStr">
        <is>
          <t>Long 16:9 + Short teaser</t>
        </is>
      </c>
      <c r="L194" s="15" t="inlineStr">
        <is>
          <t>3–5 min (Short: 50 s)</t>
        </is>
      </c>
      <c r="M194" s="15" t="inlineStr">
        <is>
          <t>guest animal(s) + Bobo</t>
        </is>
      </c>
      <c r="N194" s="15" t="inlineStr">
        <is>
          <t>Story + 3 true animal facts; value: friendship</t>
        </is>
      </c>
      <c r="O194" s="15" t="inlineStr">
        <is>
          <t>Build first: parrot</t>
        </is>
      </c>
      <c r="P194" s="15" t="inlineStr">
        <is>
          <t>P2</t>
        </is>
      </c>
      <c r="Q194" s="15" t="inlineStr">
        <is>
          <t>Idea</t>
        </is>
      </c>
      <c r="R194" s="48">
        <f>INDEX('Start Here'!$B$10:$B$16,WEEKDAY(C194,2))</f>
        <v/>
      </c>
      <c r="S194" s="48">
        <f>MOD(R194+'Start Here'!$B$6/24,1)</f>
        <v/>
      </c>
      <c r="T194" s="15" t="n"/>
      <c r="U194" s="15" t="n"/>
      <c r="V194" s="15" t="n"/>
      <c r="W194" s="15" t="n"/>
      <c r="X194" s="20" t="n"/>
      <c r="Y194" s="15" t="n"/>
    </row>
    <row r="195">
      <c r="A195" s="15" t="n">
        <v>194</v>
      </c>
      <c r="B195" s="16">
        <f>INT((A195-1)/7)+1</f>
        <v/>
      </c>
      <c r="C195" s="47">
        <f>'Start Here'!$B$5+A195-1</f>
        <v/>
      </c>
      <c r="D195" s="16">
        <f>TEXT(C195,"ddd")</f>
        <v/>
      </c>
      <c r="E195" s="15" t="inlineStr">
        <is>
          <t>Science Friday</t>
        </is>
      </c>
      <c r="F195" s="24" t="inlineStr">
        <is>
          <t>🚀 Science for Kids</t>
        </is>
      </c>
      <c r="G195" s="15" t="n">
        <v>28</v>
      </c>
      <c r="H195" s="15" t="inlineStr">
        <is>
          <t>How Do Flowers Grow?</t>
        </is>
      </c>
      <c r="I195" s="15" t="inlineStr">
        <is>
          <t>How Do Flowers Grow? 🚀 | Science for Kids | Tiny Sparks</t>
        </is>
      </c>
      <c r="J195" s="15" t="inlineStr">
        <is>
          <t>3–5</t>
        </is>
      </c>
      <c r="K195" s="15" t="inlineStr">
        <is>
          <t>Short 9:16</t>
        </is>
      </c>
      <c r="L195" s="15" t="inlineStr">
        <is>
          <t>45–60 s</t>
        </is>
      </c>
      <c r="M195" s="15" t="inlineStr">
        <is>
          <t>Prof. Hoot + Leo (wrong guess) + Mila</t>
        </is>
      </c>
      <c r="N195" s="15" t="inlineStr">
        <is>
          <t>Answer simply: How Do Flowers Grow?</t>
        </is>
      </c>
      <c r="O195" s="15" t="inlineStr">
        <is>
          <t>Yes</t>
        </is>
      </c>
      <c r="P195" s="15" t="inlineStr">
        <is>
          <t>P2</t>
        </is>
      </c>
      <c r="Q195" s="15" t="inlineStr">
        <is>
          <t>Idea</t>
        </is>
      </c>
      <c r="R195" s="48">
        <f>INDEX('Start Here'!$B$10:$B$16,WEEKDAY(C195,2))</f>
        <v/>
      </c>
      <c r="S195" s="48">
        <f>MOD(R195+'Start Here'!$B$6/24,1)</f>
        <v/>
      </c>
      <c r="T195" s="15" t="n"/>
      <c r="U195" s="15" t="n"/>
      <c r="V195" s="15" t="n"/>
      <c r="W195" s="15" t="n"/>
      <c r="X195" s="20" t="n"/>
      <c r="Y195" s="15" t="n"/>
    </row>
    <row r="196">
      <c r="A196" s="15" t="n">
        <v>195</v>
      </c>
      <c r="B196" s="16">
        <f>INT((A196-1)/7)+1</f>
        <v/>
      </c>
      <c r="C196" s="47">
        <f>'Start Here'!$B$5+A196-1</f>
        <v/>
      </c>
      <c r="D196" s="16">
        <f>TEXT(C196,"ddd")</f>
        <v/>
      </c>
      <c r="E196" s="15" t="inlineStr">
        <is>
          <t>Puzzle Saturday</t>
        </is>
      </c>
      <c r="F196" s="25" t="inlineStr">
        <is>
          <t>🧩 Puzzles &amp; Problem-Solving</t>
        </is>
      </c>
      <c r="G196" s="15" t="n">
        <v>28</v>
      </c>
      <c r="H196" s="15" t="inlineStr">
        <is>
          <t>Help the Puppy Find Its Owner</t>
        </is>
      </c>
      <c r="I196" s="15" t="inlineStr">
        <is>
          <t>Help the Puppy Find Its Owner 🧩 | Brain Games for Kids | Tiny Sparks</t>
        </is>
      </c>
      <c r="J196" s="15" t="inlineStr">
        <is>
          <t>3–5</t>
        </is>
      </c>
      <c r="K196" s="15" t="inlineStr">
        <is>
          <t>Short 9:16</t>
        </is>
      </c>
      <c r="L196" s="15" t="inlineStr">
        <is>
          <t>45–60 s</t>
        </is>
      </c>
      <c r="M196" s="15" t="inlineStr">
        <is>
          <t>Prof. Hoot + Leo + score strip</t>
        </is>
      </c>
      <c r="N196" s="15" t="inlineStr">
        <is>
          <t>Thinking skill: observation</t>
        </is>
      </c>
      <c r="O196" s="15" t="inlineStr">
        <is>
          <t>Build first: puppy</t>
        </is>
      </c>
      <c r="P196" s="15" t="inlineStr">
        <is>
          <t>P2</t>
        </is>
      </c>
      <c r="Q196" s="15" t="inlineStr">
        <is>
          <t>Idea</t>
        </is>
      </c>
      <c r="R196" s="48">
        <f>INDEX('Start Here'!$B$10:$B$16,WEEKDAY(C196,2))</f>
        <v/>
      </c>
      <c r="S196" s="48">
        <f>MOD(R196+'Start Here'!$B$6/24,1)</f>
        <v/>
      </c>
      <c r="T196" s="15" t="n"/>
      <c r="U196" s="15" t="n"/>
      <c r="V196" s="15" t="n"/>
      <c r="W196" s="15" t="n"/>
      <c r="X196" s="20" t="n"/>
      <c r="Y196" s="15" t="n"/>
    </row>
    <row r="197">
      <c r="A197" s="15" t="n">
        <v>196</v>
      </c>
      <c r="B197" s="16">
        <f>INT((A197-1)/7)+1</f>
        <v/>
      </c>
      <c r="C197" s="47">
        <f>'Start Here'!$B$5+A197-1</f>
        <v/>
      </c>
      <c r="D197" s="16">
        <f>TEXT(C197,"ddd")</f>
        <v/>
      </c>
      <c r="E197" s="15" t="inlineStr">
        <is>
          <t>Song Sunday</t>
        </is>
      </c>
      <c r="F197" s="26" t="inlineStr">
        <is>
          <t>🎵 Educational Songs</t>
        </is>
      </c>
      <c r="G197" s="15" t="n">
        <v>28</v>
      </c>
      <c r="H197" s="15" t="inlineStr">
        <is>
          <t>Animal Sounds Song</t>
        </is>
      </c>
      <c r="I197" s="15" t="inlineStr">
        <is>
          <t>Animal Sounds Song 🎵 | Kids Songs | Tiny Sparks</t>
        </is>
      </c>
      <c r="J197" s="15" t="inlineStr">
        <is>
          <t>3–5</t>
        </is>
      </c>
      <c r="K197" s="15" t="inlineStr">
        <is>
          <t>Long 16:9 + Short cut</t>
        </is>
      </c>
      <c r="L197" s="15" t="inlineStr">
        <is>
          <t>2–3 min (Short: 45 s chorus)</t>
        </is>
      </c>
      <c r="M197" s="15" t="inlineStr">
        <is>
          <t>Mila sings, all dance</t>
        </is>
      </c>
      <c r="N197" s="15" t="inlineStr">
        <is>
          <t>Sing &amp; learn: Animal Sounds</t>
        </is>
      </c>
      <c r="O197" s="15" t="inlineStr">
        <is>
          <t>Yes</t>
        </is>
      </c>
      <c r="P197" s="15" t="inlineStr">
        <is>
          <t>P2</t>
        </is>
      </c>
      <c r="Q197" s="15" t="inlineStr">
        <is>
          <t>Idea</t>
        </is>
      </c>
      <c r="R197" s="48">
        <f>INDEX('Start Here'!$B$10:$B$16,WEEKDAY(C197,2))</f>
        <v/>
      </c>
      <c r="S197" s="48">
        <f>MOD(R197+'Start Here'!$B$6/24,1)</f>
        <v/>
      </c>
      <c r="T197" s="15" t="n"/>
      <c r="U197" s="15" t="n"/>
      <c r="V197" s="15" t="n"/>
      <c r="W197" s="15" t="n"/>
      <c r="X197" s="20" t="n"/>
      <c r="Y197" s="15" t="n"/>
    </row>
    <row r="198">
      <c r="A198" s="15" t="n">
        <v>197</v>
      </c>
      <c r="B198" s="16">
        <f>INT((A198-1)/7)+1</f>
        <v/>
      </c>
      <c r="C198" s="47">
        <f>'Start Here'!$B$5+A198-1</f>
        <v/>
      </c>
      <c r="D198" s="16">
        <f>TEXT(C198,"ddd")</f>
        <v/>
      </c>
      <c r="E198" s="15" t="inlineStr">
        <is>
          <t>Story Monday</t>
        </is>
      </c>
      <c r="F198" s="18" t="inlineStr">
        <is>
          <t>🧠 Educational Stories</t>
        </is>
      </c>
      <c r="G198" s="15" t="n">
        <v>15</v>
      </c>
      <c r="H198" s="15" t="inlineStr">
        <is>
          <t>The Day Max Said Sorry</t>
        </is>
      </c>
      <c r="I198" s="15" t="inlineStr">
        <is>
          <t>The Day Leo Said Sorry 🧠 | Kids Stories | Tiny Sparks</t>
        </is>
      </c>
      <c r="J198" s="15" t="inlineStr">
        <is>
          <t>3–5</t>
        </is>
      </c>
      <c r="K198" s="15" t="inlineStr">
        <is>
          <t>Long 16:9 + Short teaser</t>
        </is>
      </c>
      <c r="L198" s="15" t="inlineStr">
        <is>
          <t>3–5 min (Short: 50 s)</t>
        </is>
      </c>
      <c r="M198" s="15" t="inlineStr">
        <is>
          <t>Leo (lead) · Mila, Leo, Bobo + narrator</t>
        </is>
      </c>
      <c r="N198" s="15" t="inlineStr">
        <is>
          <t>Life skill: saying sorry</t>
        </is>
      </c>
      <c r="O198" s="15" t="inlineStr">
        <is>
          <t>Yes</t>
        </is>
      </c>
      <c r="P198" s="15" t="inlineStr">
        <is>
          <t>P2</t>
        </is>
      </c>
      <c r="Q198" s="15" t="inlineStr">
        <is>
          <t>Idea</t>
        </is>
      </c>
      <c r="R198" s="48">
        <f>INDEX('Start Here'!$B$10:$B$16,WEEKDAY(C198,2))</f>
        <v/>
      </c>
      <c r="S198" s="48">
        <f>MOD(R198+'Start Here'!$B$6/24,1)</f>
        <v/>
      </c>
      <c r="T198" s="15" t="n"/>
      <c r="U198" s="15" t="n"/>
      <c r="V198" s="15" t="n"/>
      <c r="W198" s="15" t="n"/>
      <c r="X198" s="20" t="n"/>
      <c r="Y198" s="15" t="n"/>
    </row>
    <row r="199">
      <c r="A199" s="15" t="n">
        <v>198</v>
      </c>
      <c r="B199" s="16">
        <f>INT((A199-1)/7)+1</f>
        <v/>
      </c>
      <c r="C199" s="47">
        <f>'Start Here'!$B$5+A199-1</f>
        <v/>
      </c>
      <c r="D199" s="16">
        <f>TEXT(C199,"ddd")</f>
        <v/>
      </c>
      <c r="E199" s="15" t="inlineStr">
        <is>
          <t>Math Tuesday</t>
        </is>
      </c>
      <c r="F199" s="21" t="inlineStr">
        <is>
          <t>🔢 Numbers &amp; Math</t>
        </is>
      </c>
      <c r="G199" s="15" t="n">
        <v>29</v>
      </c>
      <c r="H199" s="15" t="inlineStr">
        <is>
          <t>Even Numbers for Beginners</t>
        </is>
      </c>
      <c r="I199" s="15" t="inlineStr">
        <is>
          <t>Even Numbers for Beginners 🔢 | Learn Math for Kids | Tiny Sparks</t>
        </is>
      </c>
      <c r="J199" s="15" t="inlineStr">
        <is>
          <t>6–8</t>
        </is>
      </c>
      <c r="K199" s="15" t="inlineStr">
        <is>
          <t>Short 9:16</t>
        </is>
      </c>
      <c r="L199" s="15" t="inlineStr">
        <is>
          <t>45–60 s</t>
        </is>
      </c>
      <c r="M199" s="15" t="inlineStr">
        <is>
          <t>Bobo + Mila (counting fingers)</t>
        </is>
      </c>
      <c r="N199" s="15" t="inlineStr">
        <is>
          <t>Math: Even Numbers for Beginners</t>
        </is>
      </c>
      <c r="O199" s="15" t="inlineStr">
        <is>
          <t>Yes</t>
        </is>
      </c>
      <c r="P199" s="15" t="inlineStr">
        <is>
          <t>P2</t>
        </is>
      </c>
      <c r="Q199" s="15" t="inlineStr">
        <is>
          <t>Idea</t>
        </is>
      </c>
      <c r="R199" s="48">
        <f>INDEX('Start Here'!$B$10:$B$16,WEEKDAY(C199,2))</f>
        <v/>
      </c>
      <c r="S199" s="48">
        <f>MOD(R199+'Start Here'!$B$6/24,1)</f>
        <v/>
      </c>
      <c r="T199" s="15" t="n"/>
      <c r="U199" s="15" t="n"/>
      <c r="V199" s="15" t="n"/>
      <c r="W199" s="15" t="n"/>
      <c r="X199" s="20" t="n"/>
      <c r="Y199" s="15" t="n"/>
    </row>
    <row r="200">
      <c r="A200" s="15" t="n">
        <v>199</v>
      </c>
      <c r="B200" s="16">
        <f>INT((A200-1)/7)+1</f>
        <v/>
      </c>
      <c r="C200" s="47">
        <f>'Start Here'!$B$5+A200-1</f>
        <v/>
      </c>
      <c r="D200" s="16">
        <f>TEXT(C200,"ddd")</f>
        <v/>
      </c>
      <c r="E200" s="15" t="inlineStr">
        <is>
          <t>Word Wednesday</t>
        </is>
      </c>
      <c r="F200" s="22" t="inlineStr">
        <is>
          <t>🔤 English/French Words</t>
        </is>
      </c>
      <c r="G200" s="15" t="n">
        <v>29</v>
      </c>
      <c r="H200" s="15" t="inlineStr">
        <is>
          <t>School Routine Vocabulary</t>
        </is>
      </c>
      <c r="I200" s="15" t="inlineStr">
        <is>
          <t>School Routine Vocabulary 🔤 | Kids Vocabulary | Tiny Sparks</t>
        </is>
      </c>
      <c r="J200" s="15" t="inlineStr">
        <is>
          <t>3–5</t>
        </is>
      </c>
      <c r="K200" s="15" t="inlineStr">
        <is>
          <t>Short 9:16</t>
        </is>
      </c>
      <c r="L200" s="15" t="inlineStr">
        <is>
          <t>45–60 s</t>
        </is>
      </c>
      <c r="M200" s="15" t="inlineStr">
        <is>
          <t>Mila + French narrator</t>
        </is>
      </c>
      <c r="N200" s="15" t="inlineStr">
        <is>
          <t>Vocabulary EN→FR: School Routine Vocabulary</t>
        </is>
      </c>
      <c r="O200" s="15" t="inlineStr">
        <is>
          <t>Yes</t>
        </is>
      </c>
      <c r="P200" s="15" t="inlineStr">
        <is>
          <t>P2</t>
        </is>
      </c>
      <c r="Q200" s="15" t="inlineStr">
        <is>
          <t>Idea</t>
        </is>
      </c>
      <c r="R200" s="48">
        <f>INDEX('Start Here'!$B$10:$B$16,WEEKDAY(C200,2))</f>
        <v/>
      </c>
      <c r="S200" s="48">
        <f>MOD(R200+'Start Here'!$B$6/24,1)</f>
        <v/>
      </c>
      <c r="T200" s="15" t="n"/>
      <c r="U200" s="15" t="n"/>
      <c r="V200" s="15" t="n"/>
      <c r="W200" s="15" t="n"/>
      <c r="X200" s="20" t="n"/>
      <c r="Y200" s="15" t="n"/>
    </row>
    <row r="201">
      <c r="A201" s="15" t="n">
        <v>200</v>
      </c>
      <c r="B201" s="16">
        <f>INT((A201-1)/7)+1</f>
        <v/>
      </c>
      <c r="C201" s="47">
        <f>'Start Here'!$B$5+A201-1</f>
        <v/>
      </c>
      <c r="D201" s="16">
        <f>TEXT(C201,"ddd")</f>
        <v/>
      </c>
      <c r="E201" s="15" t="inlineStr">
        <is>
          <t>Animal Thursday</t>
        </is>
      </c>
      <c r="F201" s="23" t="inlineStr">
        <is>
          <t>🦁 Animal Stories</t>
        </is>
      </c>
      <c r="G201" s="15" t="n">
        <v>29</v>
      </c>
      <c r="H201" s="15" t="inlineStr">
        <is>
          <t>The Dolphin's Ocean Adventure</t>
        </is>
      </c>
      <c r="I201" s="15" t="inlineStr">
        <is>
          <t>The Dolphin's Ocean Adventure 🦁 | Animal Stories for Kids | Tiny Sparks</t>
        </is>
      </c>
      <c r="J201" s="15" t="inlineStr">
        <is>
          <t>3–5</t>
        </is>
      </c>
      <c r="K201" s="15" t="inlineStr">
        <is>
          <t>Long 16:9 + Short teaser</t>
        </is>
      </c>
      <c r="L201" s="15" t="inlineStr">
        <is>
          <t>3–5 min (Short: 50 s)</t>
        </is>
      </c>
      <c r="M201" s="15" t="inlineStr">
        <is>
          <t>guest animal(s) + Bobo</t>
        </is>
      </c>
      <c r="N201" s="15" t="inlineStr">
        <is>
          <t>Story + 3 true animal facts; value: caring for the planet</t>
        </is>
      </c>
      <c r="O201" s="15" t="inlineStr">
        <is>
          <t>Build first: dolphin</t>
        </is>
      </c>
      <c r="P201" s="15" t="inlineStr">
        <is>
          <t>P2</t>
        </is>
      </c>
      <c r="Q201" s="15" t="inlineStr">
        <is>
          <t>Idea</t>
        </is>
      </c>
      <c r="R201" s="48">
        <f>INDEX('Start Here'!$B$10:$B$16,WEEKDAY(C201,2))</f>
        <v/>
      </c>
      <c r="S201" s="48">
        <f>MOD(R201+'Start Here'!$B$6/24,1)</f>
        <v/>
      </c>
      <c r="T201" s="15" t="n"/>
      <c r="U201" s="15" t="n"/>
      <c r="V201" s="15" t="n"/>
      <c r="W201" s="15" t="n"/>
      <c r="X201" s="20" t="n"/>
      <c r="Y201" s="15" t="n"/>
    </row>
    <row r="202">
      <c r="A202" s="15" t="n">
        <v>201</v>
      </c>
      <c r="B202" s="16">
        <f>INT((A202-1)/7)+1</f>
        <v/>
      </c>
      <c r="C202" s="47">
        <f>'Start Here'!$B$5+A202-1</f>
        <v/>
      </c>
      <c r="D202" s="16">
        <f>TEXT(C202,"ddd")</f>
        <v/>
      </c>
      <c r="E202" s="15" t="inlineStr">
        <is>
          <t>Science Friday</t>
        </is>
      </c>
      <c r="F202" s="24" t="inlineStr">
        <is>
          <t>🚀 Science for Kids</t>
        </is>
      </c>
      <c r="G202" s="15" t="n">
        <v>29</v>
      </c>
      <c r="H202" s="15" t="inlineStr">
        <is>
          <t>What Are Seeds?</t>
        </is>
      </c>
      <c r="I202" s="15" t="inlineStr">
        <is>
          <t>What Are Seeds? 🚀 | Science for Kids | Tiny Sparks</t>
        </is>
      </c>
      <c r="J202" s="15" t="inlineStr">
        <is>
          <t>3–5</t>
        </is>
      </c>
      <c r="K202" s="15" t="inlineStr">
        <is>
          <t>Short 9:16</t>
        </is>
      </c>
      <c r="L202" s="15" t="inlineStr">
        <is>
          <t>45–60 s</t>
        </is>
      </c>
      <c r="M202" s="15" t="inlineStr">
        <is>
          <t>Prof. Hoot + Leo (wrong guess) + Mila</t>
        </is>
      </c>
      <c r="N202" s="15" t="inlineStr">
        <is>
          <t>Answer simply: What Are Seeds?</t>
        </is>
      </c>
      <c r="O202" s="15" t="inlineStr">
        <is>
          <t>Yes</t>
        </is>
      </c>
      <c r="P202" s="15" t="inlineStr">
        <is>
          <t>P2</t>
        </is>
      </c>
      <c r="Q202" s="15" t="inlineStr">
        <is>
          <t>Idea</t>
        </is>
      </c>
      <c r="R202" s="48">
        <f>INDEX('Start Here'!$B$10:$B$16,WEEKDAY(C202,2))</f>
        <v/>
      </c>
      <c r="S202" s="48">
        <f>MOD(R202+'Start Here'!$B$6/24,1)</f>
        <v/>
      </c>
      <c r="T202" s="15" t="n"/>
      <c r="U202" s="15" t="n"/>
      <c r="V202" s="15" t="n"/>
      <c r="W202" s="15" t="n"/>
      <c r="X202" s="20" t="n"/>
      <c r="Y202" s="15" t="n"/>
    </row>
    <row r="203">
      <c r="A203" s="15" t="n">
        <v>202</v>
      </c>
      <c r="B203" s="16">
        <f>INT((A203-1)/7)+1</f>
        <v/>
      </c>
      <c r="C203" s="47">
        <f>'Start Here'!$B$5+A203-1</f>
        <v/>
      </c>
      <c r="D203" s="16">
        <f>TEXT(C203,"ddd")</f>
        <v/>
      </c>
      <c r="E203" s="15" t="inlineStr">
        <is>
          <t>Puzzle Saturday</t>
        </is>
      </c>
      <c r="F203" s="25" t="inlineStr">
        <is>
          <t>🧩 Puzzles &amp; Problem-Solving</t>
        </is>
      </c>
      <c r="G203" s="15" t="n">
        <v>29</v>
      </c>
      <c r="H203" s="15" t="inlineStr">
        <is>
          <t>Help the Bee Find the Flower</t>
        </is>
      </c>
      <c r="I203" s="15" t="inlineStr">
        <is>
          <t>Help the Bee Find the Flower 🧩 | Brain Games for Kids | Tiny Sparks</t>
        </is>
      </c>
      <c r="J203" s="15" t="inlineStr">
        <is>
          <t>3–5</t>
        </is>
      </c>
      <c r="K203" s="15" t="inlineStr">
        <is>
          <t>Short 9:16</t>
        </is>
      </c>
      <c r="L203" s="15" t="inlineStr">
        <is>
          <t>45–60 s</t>
        </is>
      </c>
      <c r="M203" s="15" t="inlineStr">
        <is>
          <t>Prof. Hoot + Leo + score strip</t>
        </is>
      </c>
      <c r="N203" s="15" t="inlineStr">
        <is>
          <t>Thinking skill: observation</t>
        </is>
      </c>
      <c r="O203" s="15" t="inlineStr">
        <is>
          <t>Build first: bee</t>
        </is>
      </c>
      <c r="P203" s="15" t="inlineStr">
        <is>
          <t>P2</t>
        </is>
      </c>
      <c r="Q203" s="15" t="inlineStr">
        <is>
          <t>Idea</t>
        </is>
      </c>
      <c r="R203" s="48">
        <f>INDEX('Start Here'!$B$10:$B$16,WEEKDAY(C203,2))</f>
        <v/>
      </c>
      <c r="S203" s="48">
        <f>MOD(R203+'Start Here'!$B$6/24,1)</f>
        <v/>
      </c>
      <c r="T203" s="15" t="n"/>
      <c r="U203" s="15" t="n"/>
      <c r="V203" s="15" t="n"/>
      <c r="W203" s="15" t="n"/>
      <c r="X203" s="20" t="n"/>
      <c r="Y203" s="15" t="n"/>
    </row>
    <row r="204">
      <c r="A204" s="15" t="n">
        <v>203</v>
      </c>
      <c r="B204" s="16">
        <f>INT((A204-1)/7)+1</f>
        <v/>
      </c>
      <c r="C204" s="47">
        <f>'Start Here'!$B$5+A204-1</f>
        <v/>
      </c>
      <c r="D204" s="16">
        <f>TEXT(C204,"ddd")</f>
        <v/>
      </c>
      <c r="E204" s="15" t="inlineStr">
        <is>
          <t>Song Sunday</t>
        </is>
      </c>
      <c r="F204" s="26" t="inlineStr">
        <is>
          <t>🎵 Educational Songs</t>
        </is>
      </c>
      <c r="G204" s="15" t="n">
        <v>29</v>
      </c>
      <c r="H204" s="15" t="inlineStr">
        <is>
          <t>Baby Animals Song</t>
        </is>
      </c>
      <c r="I204" s="15" t="inlineStr">
        <is>
          <t>Baby Animals Song 🎵 | Kids Songs | Tiny Sparks</t>
        </is>
      </c>
      <c r="J204" s="15" t="inlineStr">
        <is>
          <t>3–5</t>
        </is>
      </c>
      <c r="K204" s="15" t="inlineStr">
        <is>
          <t>Long 16:9 + Short cut</t>
        </is>
      </c>
      <c r="L204" s="15" t="inlineStr">
        <is>
          <t>2–3 min (Short: 45 s chorus)</t>
        </is>
      </c>
      <c r="M204" s="15" t="inlineStr">
        <is>
          <t>Mila sings, all dance</t>
        </is>
      </c>
      <c r="N204" s="15" t="inlineStr">
        <is>
          <t>Sing &amp; learn: Baby Animals</t>
        </is>
      </c>
      <c r="O204" s="15" t="inlineStr">
        <is>
          <t>Yes</t>
        </is>
      </c>
      <c r="P204" s="15" t="inlineStr">
        <is>
          <t>P2</t>
        </is>
      </c>
      <c r="Q204" s="15" t="inlineStr">
        <is>
          <t>Idea</t>
        </is>
      </c>
      <c r="R204" s="48">
        <f>INDEX('Start Here'!$B$10:$B$16,WEEKDAY(C204,2))</f>
        <v/>
      </c>
      <c r="S204" s="48">
        <f>MOD(R204+'Start Here'!$B$6/24,1)</f>
        <v/>
      </c>
      <c r="T204" s="15" t="n"/>
      <c r="U204" s="15" t="n"/>
      <c r="V204" s="15" t="n"/>
      <c r="W204" s="15" t="n"/>
      <c r="X204" s="20" t="n"/>
      <c r="Y204" s="15" t="n"/>
    </row>
    <row r="205">
      <c r="A205" s="15" t="n">
        <v>204</v>
      </c>
      <c r="B205" s="16">
        <f>INT((A205-1)/7)+1</f>
        <v/>
      </c>
      <c r="C205" s="47">
        <f>'Start Here'!$B$5+A205-1</f>
        <v/>
      </c>
      <c r="D205" s="16">
        <f>TEXT(C205,"ddd")</f>
        <v/>
      </c>
      <c r="E205" s="15" t="inlineStr">
        <is>
          <t>Story Monday</t>
        </is>
      </c>
      <c r="F205" s="27" t="inlineStr">
        <is>
          <t>📚 Moral Stories</t>
        </is>
      </c>
      <c r="G205" s="15" t="n">
        <v>15</v>
      </c>
      <c r="H205" s="15" t="inlineStr">
        <is>
          <t>The Kind Farmer</t>
        </is>
      </c>
      <c r="I205" s="15" t="inlineStr">
        <is>
          <t>The Kind Farmer 📚 | Moral Stories for Kids | Tiny Sparks</t>
        </is>
      </c>
      <c r="J205" s="15" t="inlineStr">
        <is>
          <t>3–5</t>
        </is>
      </c>
      <c r="K205" s="15" t="inlineStr">
        <is>
          <t>Long 16:9 + Short teaser</t>
        </is>
      </c>
      <c r="L205" s="15" t="inlineStr">
        <is>
          <t>3–5 min (Short: 50 s)</t>
        </is>
      </c>
      <c r="M205" s="15" t="inlineStr">
        <is>
          <t>narrator + guest animals / Mila &amp; Leo</t>
        </is>
      </c>
      <c r="N205" s="15" t="inlineStr">
        <is>
          <t>Value: kindness</t>
        </is>
      </c>
      <c r="O205" s="15" t="inlineStr">
        <is>
          <t>Yes</t>
        </is>
      </c>
      <c r="P205" s="15" t="inlineStr">
        <is>
          <t>P2</t>
        </is>
      </c>
      <c r="Q205" s="15" t="inlineStr">
        <is>
          <t>Idea</t>
        </is>
      </c>
      <c r="R205" s="48">
        <f>INDEX('Start Here'!$B$10:$B$16,WEEKDAY(C205,2))</f>
        <v/>
      </c>
      <c r="S205" s="48">
        <f>MOD(R205+'Start Here'!$B$6/24,1)</f>
        <v/>
      </c>
      <c r="T205" s="15" t="n"/>
      <c r="U205" s="15" t="n"/>
      <c r="V205" s="15" t="n"/>
      <c r="W205" s="15" t="n"/>
      <c r="X205" s="20" t="n"/>
      <c r="Y205" s="15" t="n"/>
    </row>
    <row r="206">
      <c r="A206" s="15" t="n">
        <v>205</v>
      </c>
      <c r="B206" s="16">
        <f>INT((A206-1)/7)+1</f>
        <v/>
      </c>
      <c r="C206" s="47">
        <f>'Start Here'!$B$5+A206-1</f>
        <v/>
      </c>
      <c r="D206" s="16">
        <f>TEXT(C206,"ddd")</f>
        <v/>
      </c>
      <c r="E206" s="15" t="inlineStr">
        <is>
          <t>Math Tuesday</t>
        </is>
      </c>
      <c r="F206" s="21" t="inlineStr">
        <is>
          <t>🔢 Numbers &amp; Math</t>
        </is>
      </c>
      <c r="G206" s="15" t="n">
        <v>30</v>
      </c>
      <c r="H206" s="15" t="inlineStr">
        <is>
          <t>Find the Missing Number</t>
        </is>
      </c>
      <c r="I206" s="15" t="inlineStr">
        <is>
          <t>Find the Missing Number 🔢 | Learn Math for Kids | Tiny Sparks</t>
        </is>
      </c>
      <c r="J206" s="15" t="inlineStr">
        <is>
          <t>3–5</t>
        </is>
      </c>
      <c r="K206" s="15" t="inlineStr">
        <is>
          <t>Short 9:16</t>
        </is>
      </c>
      <c r="L206" s="15" t="inlineStr">
        <is>
          <t>45–60 s</t>
        </is>
      </c>
      <c r="M206" s="15" t="inlineStr">
        <is>
          <t>Bobo + Mila (counting fingers)</t>
        </is>
      </c>
      <c r="N206" s="15" t="inlineStr">
        <is>
          <t>Math: Find the Missing Number</t>
        </is>
      </c>
      <c r="O206" s="15" t="inlineStr">
        <is>
          <t>Yes</t>
        </is>
      </c>
      <c r="P206" s="15" t="inlineStr">
        <is>
          <t>P2</t>
        </is>
      </c>
      <c r="Q206" s="15" t="inlineStr">
        <is>
          <t>Idea</t>
        </is>
      </c>
      <c r="R206" s="48">
        <f>INDEX('Start Here'!$B$10:$B$16,WEEKDAY(C206,2))</f>
        <v/>
      </c>
      <c r="S206" s="48">
        <f>MOD(R206+'Start Here'!$B$6/24,1)</f>
        <v/>
      </c>
      <c r="T206" s="15" t="n"/>
      <c r="U206" s="15" t="n"/>
      <c r="V206" s="15" t="n"/>
      <c r="W206" s="15" t="n"/>
      <c r="X206" s="20" t="n"/>
      <c r="Y206" s="15" t="n"/>
    </row>
    <row r="207">
      <c r="A207" s="15" t="n">
        <v>206</v>
      </c>
      <c r="B207" s="16">
        <f>INT((A207-1)/7)+1</f>
        <v/>
      </c>
      <c r="C207" s="47">
        <f>'Start Here'!$B$5+A207-1</f>
        <v/>
      </c>
      <c r="D207" s="16">
        <f>TEXT(C207,"ddd")</f>
        <v/>
      </c>
      <c r="E207" s="15" t="inlineStr">
        <is>
          <t>Word Wednesday</t>
        </is>
      </c>
      <c r="F207" s="22" t="inlineStr">
        <is>
          <t>🔤 English/French Words</t>
        </is>
      </c>
      <c r="G207" s="15" t="n">
        <v>30</v>
      </c>
      <c r="H207" s="15" t="inlineStr">
        <is>
          <t>Playground Vocabulary</t>
        </is>
      </c>
      <c r="I207" s="15" t="inlineStr">
        <is>
          <t>Playground Vocabulary 🔤 | Kids Vocabulary | Tiny Sparks</t>
        </is>
      </c>
      <c r="J207" s="15" t="inlineStr">
        <is>
          <t>3–5</t>
        </is>
      </c>
      <c r="K207" s="15" t="inlineStr">
        <is>
          <t>Short 9:16</t>
        </is>
      </c>
      <c r="L207" s="15" t="inlineStr">
        <is>
          <t>45–60 s</t>
        </is>
      </c>
      <c r="M207" s="15" t="inlineStr">
        <is>
          <t>Mila + French narrator</t>
        </is>
      </c>
      <c r="N207" s="15" t="inlineStr">
        <is>
          <t>Vocabulary EN→FR: Playground Vocabulary</t>
        </is>
      </c>
      <c r="O207" s="15" t="inlineStr">
        <is>
          <t>Yes</t>
        </is>
      </c>
      <c r="P207" s="15" t="inlineStr">
        <is>
          <t>P2</t>
        </is>
      </c>
      <c r="Q207" s="15" t="inlineStr">
        <is>
          <t>Idea</t>
        </is>
      </c>
      <c r="R207" s="48">
        <f>INDEX('Start Here'!$B$10:$B$16,WEEKDAY(C207,2))</f>
        <v/>
      </c>
      <c r="S207" s="48">
        <f>MOD(R207+'Start Here'!$B$6/24,1)</f>
        <v/>
      </c>
      <c r="T207" s="15" t="n"/>
      <c r="U207" s="15" t="n"/>
      <c r="V207" s="15" t="n"/>
      <c r="W207" s="15" t="n"/>
      <c r="X207" s="20" t="n"/>
      <c r="Y207" s="15" t="n"/>
    </row>
    <row r="208">
      <c r="A208" s="15" t="n">
        <v>207</v>
      </c>
      <c r="B208" s="16">
        <f>INT((A208-1)/7)+1</f>
        <v/>
      </c>
      <c r="C208" s="47">
        <f>'Start Here'!$B$5+A208-1</f>
        <v/>
      </c>
      <c r="D208" s="16">
        <f>TEXT(C208,"ddd")</f>
        <v/>
      </c>
      <c r="E208" s="15" t="inlineStr">
        <is>
          <t>Animal Thursday</t>
        </is>
      </c>
      <c r="F208" s="23" t="inlineStr">
        <is>
          <t>🦁 Animal Stories</t>
        </is>
      </c>
      <c r="G208" s="15" t="n">
        <v>30</v>
      </c>
      <c r="H208" s="15" t="inlineStr">
        <is>
          <t>The Whale Who Lost His Family</t>
        </is>
      </c>
      <c r="I208" s="15" t="inlineStr">
        <is>
          <t>The Whale Who Lost His Family 🦁 | Animal Stories for Kids | Tiny Sparks</t>
        </is>
      </c>
      <c r="J208" s="15" t="inlineStr">
        <is>
          <t>3–5</t>
        </is>
      </c>
      <c r="K208" s="15" t="inlineStr">
        <is>
          <t>Long 16:9 + Short teaser</t>
        </is>
      </c>
      <c r="L208" s="15" t="inlineStr">
        <is>
          <t>3–5 min (Short: 50 s)</t>
        </is>
      </c>
      <c r="M208" s="15" t="inlineStr">
        <is>
          <t>guest animal(s) + Bobo</t>
        </is>
      </c>
      <c r="N208" s="15" t="inlineStr">
        <is>
          <t>Story + 3 true animal facts; value: family</t>
        </is>
      </c>
      <c r="O208" s="15" t="inlineStr">
        <is>
          <t>Build first: whale</t>
        </is>
      </c>
      <c r="P208" s="15" t="inlineStr">
        <is>
          <t>P2</t>
        </is>
      </c>
      <c r="Q208" s="15" t="inlineStr">
        <is>
          <t>Idea</t>
        </is>
      </c>
      <c r="R208" s="48">
        <f>INDEX('Start Here'!$B$10:$B$16,WEEKDAY(C208,2))</f>
        <v/>
      </c>
      <c r="S208" s="48">
        <f>MOD(R208+'Start Here'!$B$6/24,1)</f>
        <v/>
      </c>
      <c r="T208" s="15" t="n"/>
      <c r="U208" s="15" t="n"/>
      <c r="V208" s="15" t="n"/>
      <c r="W208" s="15" t="n"/>
      <c r="X208" s="20" t="n"/>
      <c r="Y208" s="15" t="n"/>
    </row>
    <row r="209">
      <c r="A209" s="15" t="n">
        <v>208</v>
      </c>
      <c r="B209" s="16">
        <f>INT((A209-1)/7)+1</f>
        <v/>
      </c>
      <c r="C209" s="47">
        <f>'Start Here'!$B$5+A209-1</f>
        <v/>
      </c>
      <c r="D209" s="16">
        <f>TEXT(C209,"ddd")</f>
        <v/>
      </c>
      <c r="E209" s="15" t="inlineStr">
        <is>
          <t>Science Friday</t>
        </is>
      </c>
      <c r="F209" s="24" t="inlineStr">
        <is>
          <t>🚀 Science for Kids</t>
        </is>
      </c>
      <c r="G209" s="15" t="n">
        <v>30</v>
      </c>
      <c r="H209" s="15" t="inlineStr">
        <is>
          <t>How Do Bees Make Honey?</t>
        </is>
      </c>
      <c r="I209" s="15" t="inlineStr">
        <is>
          <t>How Do Bees Make Honey? 🚀 | Science for Kids | Tiny Sparks</t>
        </is>
      </c>
      <c r="J209" s="15" t="inlineStr">
        <is>
          <t>3–5</t>
        </is>
      </c>
      <c r="K209" s="15" t="inlineStr">
        <is>
          <t>Short 9:16</t>
        </is>
      </c>
      <c r="L209" s="15" t="inlineStr">
        <is>
          <t>45–60 s</t>
        </is>
      </c>
      <c r="M209" s="15" t="inlineStr">
        <is>
          <t>Prof. Hoot + Leo (wrong guess) + Mila</t>
        </is>
      </c>
      <c r="N209" s="15" t="inlineStr">
        <is>
          <t>Answer simply: How Do Bees Make Honey?</t>
        </is>
      </c>
      <c r="O209" s="15" t="inlineStr">
        <is>
          <t>Build first: bees</t>
        </is>
      </c>
      <c r="P209" s="15" t="inlineStr">
        <is>
          <t>P2</t>
        </is>
      </c>
      <c r="Q209" s="15" t="inlineStr">
        <is>
          <t>Idea</t>
        </is>
      </c>
      <c r="R209" s="48">
        <f>INDEX('Start Here'!$B$10:$B$16,WEEKDAY(C209,2))</f>
        <v/>
      </c>
      <c r="S209" s="48">
        <f>MOD(R209+'Start Here'!$B$6/24,1)</f>
        <v/>
      </c>
      <c r="T209" s="15" t="n"/>
      <c r="U209" s="15" t="n"/>
      <c r="V209" s="15" t="n"/>
      <c r="W209" s="15" t="n"/>
      <c r="X209" s="20" t="n"/>
      <c r="Y209" s="15" t="n"/>
    </row>
    <row r="210">
      <c r="A210" s="15" t="n">
        <v>209</v>
      </c>
      <c r="B210" s="16">
        <f>INT((A210-1)/7)+1</f>
        <v/>
      </c>
      <c r="C210" s="47">
        <f>'Start Here'!$B$5+A210-1</f>
        <v/>
      </c>
      <c r="D210" s="16">
        <f>TEXT(C210,"ddd")</f>
        <v/>
      </c>
      <c r="E210" s="15" t="inlineStr">
        <is>
          <t>Puzzle Saturday</t>
        </is>
      </c>
      <c r="F210" s="25" t="inlineStr">
        <is>
          <t>🧩 Puzzles &amp; Problem-Solving</t>
        </is>
      </c>
      <c r="G210" s="15" t="n">
        <v>30</v>
      </c>
      <c r="H210" s="15" t="inlineStr">
        <is>
          <t>Help the Astronaut Reach the Rocket</t>
        </is>
      </c>
      <c r="I210" s="15" t="inlineStr">
        <is>
          <t>Help the Astronaut Reach the Rocket 🧩 | Brain Games for Kids | Tiny Sparks</t>
        </is>
      </c>
      <c r="J210" s="15" t="inlineStr">
        <is>
          <t>6–8</t>
        </is>
      </c>
      <c r="K210" s="15" t="inlineStr">
        <is>
          <t>Short 9:16</t>
        </is>
      </c>
      <c r="L210" s="15" t="inlineStr">
        <is>
          <t>45–60 s</t>
        </is>
      </c>
      <c r="M210" s="15" t="inlineStr">
        <is>
          <t>Prof. Hoot + Leo + score strip</t>
        </is>
      </c>
      <c r="N210" s="15" t="inlineStr">
        <is>
          <t>Thinking skill: spatial thinking</t>
        </is>
      </c>
      <c r="O210" s="15" t="inlineStr">
        <is>
          <t>Yes</t>
        </is>
      </c>
      <c r="P210" s="15" t="inlineStr">
        <is>
          <t>P2</t>
        </is>
      </c>
      <c r="Q210" s="15" t="inlineStr">
        <is>
          <t>Idea</t>
        </is>
      </c>
      <c r="R210" s="48">
        <f>INDEX('Start Here'!$B$10:$B$16,WEEKDAY(C210,2))</f>
        <v/>
      </c>
      <c r="S210" s="48">
        <f>MOD(R210+'Start Here'!$B$6/24,1)</f>
        <v/>
      </c>
      <c r="T210" s="15" t="n"/>
      <c r="U210" s="15" t="n"/>
      <c r="V210" s="15" t="n"/>
      <c r="W210" s="15" t="n"/>
      <c r="X210" s="20" t="n"/>
      <c r="Y210" s="15" t="n"/>
    </row>
    <row r="211">
      <c r="A211" s="15" t="n">
        <v>210</v>
      </c>
      <c r="B211" s="16">
        <f>INT((A211-1)/7)+1</f>
        <v/>
      </c>
      <c r="C211" s="47">
        <f>'Start Here'!$B$5+A211-1</f>
        <v/>
      </c>
      <c r="D211" s="16">
        <f>TEXT(C211,"ddd")</f>
        <v/>
      </c>
      <c r="E211" s="15" t="inlineStr">
        <is>
          <t>Song Sunday</t>
        </is>
      </c>
      <c r="F211" s="26" t="inlineStr">
        <is>
          <t>🎵 Educational Songs</t>
        </is>
      </c>
      <c r="G211" s="15" t="n">
        <v>30</v>
      </c>
      <c r="H211" s="15" t="inlineStr">
        <is>
          <t>Animal Homes Song</t>
        </is>
      </c>
      <c r="I211" s="15" t="inlineStr">
        <is>
          <t>Animal Homes Song 🎵 | Kids Songs | Tiny Sparks</t>
        </is>
      </c>
      <c r="J211" s="15" t="inlineStr">
        <is>
          <t>3–5</t>
        </is>
      </c>
      <c r="K211" s="15" t="inlineStr">
        <is>
          <t>Long 16:9 + Short cut</t>
        </is>
      </c>
      <c r="L211" s="15" t="inlineStr">
        <is>
          <t>2–3 min (Short: 45 s chorus)</t>
        </is>
      </c>
      <c r="M211" s="15" t="inlineStr">
        <is>
          <t>Mila sings, all dance</t>
        </is>
      </c>
      <c r="N211" s="15" t="inlineStr">
        <is>
          <t>Sing &amp; learn: Animal Homes</t>
        </is>
      </c>
      <c r="O211" s="15" t="inlineStr">
        <is>
          <t>Yes</t>
        </is>
      </c>
      <c r="P211" s="15" t="inlineStr">
        <is>
          <t>P2</t>
        </is>
      </c>
      <c r="Q211" s="15" t="inlineStr">
        <is>
          <t>Idea</t>
        </is>
      </c>
      <c r="R211" s="48">
        <f>INDEX('Start Here'!$B$10:$B$16,WEEKDAY(C211,2))</f>
        <v/>
      </c>
      <c r="S211" s="48">
        <f>MOD(R211+'Start Here'!$B$6/24,1)</f>
        <v/>
      </c>
      <c r="T211" s="15" t="n"/>
      <c r="U211" s="15" t="n"/>
      <c r="V211" s="15" t="n"/>
      <c r="W211" s="15" t="n"/>
      <c r="X211" s="20" t="n"/>
      <c r="Y211" s="15" t="n"/>
    </row>
    <row r="212">
      <c r="A212" s="15" t="n">
        <v>211</v>
      </c>
      <c r="B212" s="16">
        <f>INT((A212-1)/7)+1</f>
        <v/>
      </c>
      <c r="C212" s="47">
        <f>'Start Here'!$B$5+A212-1</f>
        <v/>
      </c>
      <c r="D212" s="16">
        <f>TEXT(C212,"ddd")</f>
        <v/>
      </c>
      <c r="E212" s="15" t="inlineStr">
        <is>
          <t>Story Monday</t>
        </is>
      </c>
      <c r="F212" s="18" t="inlineStr">
        <is>
          <t>🧠 Educational Stories</t>
        </is>
      </c>
      <c r="G212" s="15" t="n">
        <v>16</v>
      </c>
      <c r="H212" s="15" t="inlineStr">
        <is>
          <t>Emma Learns to Respect Others</t>
        </is>
      </c>
      <c r="I212" s="15" t="inlineStr">
        <is>
          <t>Mila Learns to Respect Others 🧠 | Kids Stories | Tiny Sparks</t>
        </is>
      </c>
      <c r="J212" s="15" t="inlineStr">
        <is>
          <t>3–5</t>
        </is>
      </c>
      <c r="K212" s="15" t="inlineStr">
        <is>
          <t>Long 16:9 + Short teaser</t>
        </is>
      </c>
      <c r="L212" s="15" t="inlineStr">
        <is>
          <t>3–5 min (Short: 50 s)</t>
        </is>
      </c>
      <c r="M212" s="15" t="inlineStr">
        <is>
          <t>Mila (lead) · Mila, Leo, Bobo + narrator</t>
        </is>
      </c>
      <c r="N212" s="15" t="inlineStr">
        <is>
          <t>Life skill: Respect Others</t>
        </is>
      </c>
      <c r="O212" s="15" t="inlineStr">
        <is>
          <t>Yes</t>
        </is>
      </c>
      <c r="P212" s="15" t="inlineStr">
        <is>
          <t>P2</t>
        </is>
      </c>
      <c r="Q212" s="15" t="inlineStr">
        <is>
          <t>Idea</t>
        </is>
      </c>
      <c r="R212" s="48">
        <f>INDEX('Start Here'!$B$10:$B$16,WEEKDAY(C212,2))</f>
        <v/>
      </c>
      <c r="S212" s="48">
        <f>MOD(R212+'Start Here'!$B$6/24,1)</f>
        <v/>
      </c>
      <c r="T212" s="15" t="n"/>
      <c r="U212" s="15" t="n"/>
      <c r="V212" s="15" t="n"/>
      <c r="W212" s="15" t="n"/>
      <c r="X212" s="20" t="n"/>
      <c r="Y212" s="15" t="n"/>
    </row>
    <row r="213">
      <c r="A213" s="15" t="n">
        <v>212</v>
      </c>
      <c r="B213" s="16">
        <f>INT((A213-1)/7)+1</f>
        <v/>
      </c>
      <c r="C213" s="47">
        <f>'Start Here'!$B$5+A213-1</f>
        <v/>
      </c>
      <c r="D213" s="16">
        <f>TEXT(C213,"ddd")</f>
        <v/>
      </c>
      <c r="E213" s="15" t="inlineStr">
        <is>
          <t>Math Tuesday</t>
        </is>
      </c>
      <c r="F213" s="21" t="inlineStr">
        <is>
          <t>🔢 Numbers &amp; Math</t>
        </is>
      </c>
      <c r="G213" s="15" t="n">
        <v>31</v>
      </c>
      <c r="H213" s="15" t="inlineStr">
        <is>
          <t>What Number Comes Next?</t>
        </is>
      </c>
      <c r="I213" s="15" t="inlineStr">
        <is>
          <t>What Number Comes Next? 🔢 | Learn Math for Kids | Tiny Sparks</t>
        </is>
      </c>
      <c r="J213" s="15" t="inlineStr">
        <is>
          <t>3–5</t>
        </is>
      </c>
      <c r="K213" s="15" t="inlineStr">
        <is>
          <t>Short 9:16</t>
        </is>
      </c>
      <c r="L213" s="15" t="inlineStr">
        <is>
          <t>45–60 s</t>
        </is>
      </c>
      <c r="M213" s="15" t="inlineStr">
        <is>
          <t>Bobo + Mila (counting fingers)</t>
        </is>
      </c>
      <c r="N213" s="15" t="inlineStr">
        <is>
          <t>Math: What Number Comes Next?</t>
        </is>
      </c>
      <c r="O213" s="15" t="inlineStr">
        <is>
          <t>Yes</t>
        </is>
      </c>
      <c r="P213" s="15" t="inlineStr">
        <is>
          <t>P2</t>
        </is>
      </c>
      <c r="Q213" s="15" t="inlineStr">
        <is>
          <t>Idea</t>
        </is>
      </c>
      <c r="R213" s="48">
        <f>INDEX('Start Here'!$B$10:$B$16,WEEKDAY(C213,2))</f>
        <v/>
      </c>
      <c r="S213" s="48">
        <f>MOD(R213+'Start Here'!$B$6/24,1)</f>
        <v/>
      </c>
      <c r="T213" s="15" t="n"/>
      <c r="U213" s="15" t="n"/>
      <c r="V213" s="15" t="n"/>
      <c r="W213" s="15" t="n"/>
      <c r="X213" s="20" t="n"/>
      <c r="Y213" s="15" t="n"/>
    </row>
    <row r="214">
      <c r="A214" s="15" t="n">
        <v>213</v>
      </c>
      <c r="B214" s="16">
        <f>INT((A214-1)/7)+1</f>
        <v/>
      </c>
      <c r="C214" s="47">
        <f>'Start Here'!$B$5+A214-1</f>
        <v/>
      </c>
      <c r="D214" s="16">
        <f>TEXT(C214,"ddd")</f>
        <v/>
      </c>
      <c r="E214" s="15" t="inlineStr">
        <is>
          <t>Word Wednesday</t>
        </is>
      </c>
      <c r="F214" s="22" t="inlineStr">
        <is>
          <t>🔤 English/French Words</t>
        </is>
      </c>
      <c r="G214" s="15" t="n">
        <v>31</v>
      </c>
      <c r="H214" s="15" t="inlineStr">
        <is>
          <t>Happy, Sad and Angry</t>
        </is>
      </c>
      <c r="I214" s="15" t="inlineStr">
        <is>
          <t>Happy, Sad and Angry 🔤 | Kids Vocabulary | Tiny Sparks</t>
        </is>
      </c>
      <c r="J214" s="15" t="inlineStr">
        <is>
          <t>3–5</t>
        </is>
      </c>
      <c r="K214" s="15" t="inlineStr">
        <is>
          <t>Short 9:16</t>
        </is>
      </c>
      <c r="L214" s="15" t="inlineStr">
        <is>
          <t>45–60 s</t>
        </is>
      </c>
      <c r="M214" s="15" t="inlineStr">
        <is>
          <t>Mila + French narrator</t>
        </is>
      </c>
      <c r="N214" s="15" t="inlineStr">
        <is>
          <t>Vocabulary EN→FR: Happy, Sad and Angry</t>
        </is>
      </c>
      <c r="O214" s="15" t="inlineStr">
        <is>
          <t>Yes</t>
        </is>
      </c>
      <c r="P214" s="15" t="inlineStr">
        <is>
          <t>P2</t>
        </is>
      </c>
      <c r="Q214" s="15" t="inlineStr">
        <is>
          <t>Idea</t>
        </is>
      </c>
      <c r="R214" s="48">
        <f>INDEX('Start Here'!$B$10:$B$16,WEEKDAY(C214,2))</f>
        <v/>
      </c>
      <c r="S214" s="48">
        <f>MOD(R214+'Start Here'!$B$6/24,1)</f>
        <v/>
      </c>
      <c r="T214" s="15" t="n"/>
      <c r="U214" s="15" t="n"/>
      <c r="V214" s="15" t="n"/>
      <c r="W214" s="15" t="n"/>
      <c r="X214" s="20" t="n"/>
      <c r="Y214" s="15" t="n"/>
    </row>
    <row r="215">
      <c r="A215" s="15" t="n">
        <v>214</v>
      </c>
      <c r="B215" s="16">
        <f>INT((A215-1)/7)+1</f>
        <v/>
      </c>
      <c r="C215" s="47">
        <f>'Start Here'!$B$5+A215-1</f>
        <v/>
      </c>
      <c r="D215" s="16">
        <f>TEXT(C215,"ddd")</f>
        <v/>
      </c>
      <c r="E215" s="15" t="inlineStr">
        <is>
          <t>Animal Thursday</t>
        </is>
      </c>
      <c r="F215" s="23" t="inlineStr">
        <is>
          <t>🦁 Animal Stories</t>
        </is>
      </c>
      <c r="G215" s="15" t="n">
        <v>31</v>
      </c>
      <c r="H215" s="15" t="inlineStr">
        <is>
          <t>The Penguin and the Melting Ice</t>
        </is>
      </c>
      <c r="I215" s="15" t="inlineStr">
        <is>
          <t>The Penguin and the Melting Ice 🦁 | Animal Stories for Kids | Tiny Sparks</t>
        </is>
      </c>
      <c r="J215" s="15" t="inlineStr">
        <is>
          <t>3–5</t>
        </is>
      </c>
      <c r="K215" s="15" t="inlineStr">
        <is>
          <t>Long 16:9 + Short teaser</t>
        </is>
      </c>
      <c r="L215" s="15" t="inlineStr">
        <is>
          <t>3–5 min (Short: 50 s)</t>
        </is>
      </c>
      <c r="M215" s="15" t="inlineStr">
        <is>
          <t>guest animal(s) + Bobo</t>
        </is>
      </c>
      <c r="N215" s="15" t="inlineStr">
        <is>
          <t>Story + 3 true animal facts; value: friendship</t>
        </is>
      </c>
      <c r="O215" s="15" t="inlineStr">
        <is>
          <t>Build first: penguin</t>
        </is>
      </c>
      <c r="P215" s="15" t="inlineStr">
        <is>
          <t>P2</t>
        </is>
      </c>
      <c r="Q215" s="15" t="inlineStr">
        <is>
          <t>Idea</t>
        </is>
      </c>
      <c r="R215" s="48">
        <f>INDEX('Start Here'!$B$10:$B$16,WEEKDAY(C215,2))</f>
        <v/>
      </c>
      <c r="S215" s="48">
        <f>MOD(R215+'Start Here'!$B$6/24,1)</f>
        <v/>
      </c>
      <c r="T215" s="15" t="n"/>
      <c r="U215" s="15" t="n"/>
      <c r="V215" s="15" t="n"/>
      <c r="W215" s="15" t="n"/>
      <c r="X215" s="20" t="n"/>
      <c r="Y215" s="15" t="n"/>
    </row>
    <row r="216">
      <c r="A216" s="15" t="n">
        <v>215</v>
      </c>
      <c r="B216" s="16">
        <f>INT((A216-1)/7)+1</f>
        <v/>
      </c>
      <c r="C216" s="47">
        <f>'Start Here'!$B$5+A216-1</f>
        <v/>
      </c>
      <c r="D216" s="16">
        <f>TEXT(C216,"ddd")</f>
        <v/>
      </c>
      <c r="E216" s="15" t="inlineStr">
        <is>
          <t>Science Friday</t>
        </is>
      </c>
      <c r="F216" s="24" t="inlineStr">
        <is>
          <t>🚀 Science for Kids</t>
        </is>
      </c>
      <c r="G216" s="15" t="n">
        <v>31</v>
      </c>
      <c r="H216" s="15" t="inlineStr">
        <is>
          <t>Why Do Bees Buzz?</t>
        </is>
      </c>
      <c r="I216" s="15" t="inlineStr">
        <is>
          <t>Why Do Bees Buzz? 🚀 | Science for Kids | Tiny Sparks</t>
        </is>
      </c>
      <c r="J216" s="15" t="inlineStr">
        <is>
          <t>3–5</t>
        </is>
      </c>
      <c r="K216" s="15" t="inlineStr">
        <is>
          <t>Short 9:16</t>
        </is>
      </c>
      <c r="L216" s="15" t="inlineStr">
        <is>
          <t>45–60 s</t>
        </is>
      </c>
      <c r="M216" s="15" t="inlineStr">
        <is>
          <t>Prof. Hoot + Leo (wrong guess) + Mila</t>
        </is>
      </c>
      <c r="N216" s="15" t="inlineStr">
        <is>
          <t>Answer simply: Why Do Bees Buzz?</t>
        </is>
      </c>
      <c r="O216" s="15" t="inlineStr">
        <is>
          <t>Build first: bees</t>
        </is>
      </c>
      <c r="P216" s="15" t="inlineStr">
        <is>
          <t>P2</t>
        </is>
      </c>
      <c r="Q216" s="15" t="inlineStr">
        <is>
          <t>Idea</t>
        </is>
      </c>
      <c r="R216" s="48">
        <f>INDEX('Start Here'!$B$10:$B$16,WEEKDAY(C216,2))</f>
        <v/>
      </c>
      <c r="S216" s="48">
        <f>MOD(R216+'Start Here'!$B$6/24,1)</f>
        <v/>
      </c>
      <c r="T216" s="15" t="n"/>
      <c r="U216" s="15" t="n"/>
      <c r="V216" s="15" t="n"/>
      <c r="W216" s="15" t="n"/>
      <c r="X216" s="20" t="n"/>
      <c r="Y216" s="15" t="n"/>
    </row>
    <row r="217">
      <c r="A217" s="15" t="n">
        <v>216</v>
      </c>
      <c r="B217" s="16">
        <f>INT((A217-1)/7)+1</f>
        <v/>
      </c>
      <c r="C217" s="47">
        <f>'Start Here'!$B$5+A217-1</f>
        <v/>
      </c>
      <c r="D217" s="16">
        <f>TEXT(C217,"ddd")</f>
        <v/>
      </c>
      <c r="E217" s="15" t="inlineStr">
        <is>
          <t>Puzzle Saturday</t>
        </is>
      </c>
      <c r="F217" s="25" t="inlineStr">
        <is>
          <t>🧩 Puzzles &amp; Problem-Solving</t>
        </is>
      </c>
      <c r="G217" s="15" t="n">
        <v>31</v>
      </c>
      <c r="H217" s="15" t="inlineStr">
        <is>
          <t>Easy Maze for Kids</t>
        </is>
      </c>
      <c r="I217" s="15" t="inlineStr">
        <is>
          <t>Easy Maze for Kids 🧩 | Brain Games for Kids | Tiny Sparks</t>
        </is>
      </c>
      <c r="J217" s="15" t="inlineStr">
        <is>
          <t>6–8</t>
        </is>
      </c>
      <c r="K217" s="15" t="inlineStr">
        <is>
          <t>Short 9:16</t>
        </is>
      </c>
      <c r="L217" s="15" t="inlineStr">
        <is>
          <t>45–60 s</t>
        </is>
      </c>
      <c r="M217" s="15" t="inlineStr">
        <is>
          <t>Prof. Hoot + Leo + score strip</t>
        </is>
      </c>
      <c r="N217" s="15" t="inlineStr">
        <is>
          <t>Thinking skill: spatial thinking</t>
        </is>
      </c>
      <c r="O217" s="15" t="inlineStr">
        <is>
          <t>Yes</t>
        </is>
      </c>
      <c r="P217" s="15" t="inlineStr">
        <is>
          <t>P2</t>
        </is>
      </c>
      <c r="Q217" s="15" t="inlineStr">
        <is>
          <t>Idea</t>
        </is>
      </c>
      <c r="R217" s="48">
        <f>INDEX('Start Here'!$B$10:$B$16,WEEKDAY(C217,2))</f>
        <v/>
      </c>
      <c r="S217" s="48">
        <f>MOD(R217+'Start Here'!$B$6/24,1)</f>
        <v/>
      </c>
      <c r="T217" s="15" t="n"/>
      <c r="U217" s="15" t="n"/>
      <c r="V217" s="15" t="n"/>
      <c r="W217" s="15" t="n"/>
      <c r="X217" s="20" t="n"/>
      <c r="Y217" s="15" t="n"/>
    </row>
    <row r="218">
      <c r="A218" s="15" t="n">
        <v>217</v>
      </c>
      <c r="B218" s="16">
        <f>INT((A218-1)/7)+1</f>
        <v/>
      </c>
      <c r="C218" s="47">
        <f>'Start Here'!$B$5+A218-1</f>
        <v/>
      </c>
      <c r="D218" s="16">
        <f>TEXT(C218,"ddd")</f>
        <v/>
      </c>
      <c r="E218" s="15" t="inlineStr">
        <is>
          <t>Song Sunday</t>
        </is>
      </c>
      <c r="F218" s="26" t="inlineStr">
        <is>
          <t>🎵 Educational Songs</t>
        </is>
      </c>
      <c r="G218" s="15" t="n">
        <v>31</v>
      </c>
      <c r="H218" s="15" t="inlineStr">
        <is>
          <t>Hello Song</t>
        </is>
      </c>
      <c r="I218" s="15" t="inlineStr">
        <is>
          <t>Hello Song 🎵 | Kids Songs | Tiny Sparks</t>
        </is>
      </c>
      <c r="J218" s="15" t="inlineStr">
        <is>
          <t>3–5</t>
        </is>
      </c>
      <c r="K218" s="15" t="inlineStr">
        <is>
          <t>Long 16:9 + Short cut</t>
        </is>
      </c>
      <c r="L218" s="15" t="inlineStr">
        <is>
          <t>2–3 min (Short: 45 s chorus)</t>
        </is>
      </c>
      <c r="M218" s="15" t="inlineStr">
        <is>
          <t>Mila sings, all dance</t>
        </is>
      </c>
      <c r="N218" s="15" t="inlineStr">
        <is>
          <t>Sing &amp; learn: Hello</t>
        </is>
      </c>
      <c r="O218" s="15" t="inlineStr">
        <is>
          <t>Yes</t>
        </is>
      </c>
      <c r="P218" s="15" t="inlineStr">
        <is>
          <t>P2</t>
        </is>
      </c>
      <c r="Q218" s="15" t="inlineStr">
        <is>
          <t>Idea</t>
        </is>
      </c>
      <c r="R218" s="48">
        <f>INDEX('Start Here'!$B$10:$B$16,WEEKDAY(C218,2))</f>
        <v/>
      </c>
      <c r="S218" s="48">
        <f>MOD(R218+'Start Here'!$B$6/24,1)</f>
        <v/>
      </c>
      <c r="T218" s="15" t="n"/>
      <c r="U218" s="15" t="n"/>
      <c r="V218" s="15" t="n"/>
      <c r="W218" s="15" t="n"/>
      <c r="X218" s="20" t="n"/>
      <c r="Y218" s="15" t="n"/>
    </row>
    <row r="219">
      <c r="A219" s="15" t="n">
        <v>218</v>
      </c>
      <c r="B219" s="16">
        <f>INT((A219-1)/7)+1</f>
        <v/>
      </c>
      <c r="C219" s="47">
        <f>'Start Here'!$B$5+A219-1</f>
        <v/>
      </c>
      <c r="D219" s="16">
        <f>TEXT(C219,"ddd")</f>
        <v/>
      </c>
      <c r="E219" s="15" t="inlineStr">
        <is>
          <t>Story Monday</t>
        </is>
      </c>
      <c r="F219" s="27" t="inlineStr">
        <is>
          <t>📚 Moral Stories</t>
        </is>
      </c>
      <c r="G219" s="15" t="n">
        <v>16</v>
      </c>
      <c r="H219" s="15" t="inlineStr">
        <is>
          <t>The Lazy Rabbit</t>
        </is>
      </c>
      <c r="I219" s="15" t="inlineStr">
        <is>
          <t>The Lazy Rabbit 📚 | Moral Stories for Kids | Tiny Sparks</t>
        </is>
      </c>
      <c r="J219" s="15" t="inlineStr">
        <is>
          <t>3–5</t>
        </is>
      </c>
      <c r="K219" s="15" t="inlineStr">
        <is>
          <t>Long 16:9 + Short teaser</t>
        </is>
      </c>
      <c r="L219" s="15" t="inlineStr">
        <is>
          <t>3–5 min (Short: 50 s)</t>
        </is>
      </c>
      <c r="M219" s="15" t="inlineStr">
        <is>
          <t>narrator + guest animals / Mila &amp; Leo</t>
        </is>
      </c>
      <c r="N219" s="15" t="inlineStr">
        <is>
          <t>Value: hard work</t>
        </is>
      </c>
      <c r="O219" s="15" t="inlineStr">
        <is>
          <t>Yes</t>
        </is>
      </c>
      <c r="P219" s="15" t="inlineStr">
        <is>
          <t>P2</t>
        </is>
      </c>
      <c r="Q219" s="15" t="inlineStr">
        <is>
          <t>Idea</t>
        </is>
      </c>
      <c r="R219" s="48">
        <f>INDEX('Start Here'!$B$10:$B$16,WEEKDAY(C219,2))</f>
        <v/>
      </c>
      <c r="S219" s="48">
        <f>MOD(R219+'Start Here'!$B$6/24,1)</f>
        <v/>
      </c>
      <c r="T219" s="15" t="n"/>
      <c r="U219" s="15" t="n"/>
      <c r="V219" s="15" t="n"/>
      <c r="W219" s="15" t="n"/>
      <c r="X219" s="20" t="n"/>
      <c r="Y219" s="15" t="n"/>
    </row>
    <row r="220">
      <c r="A220" s="15" t="n">
        <v>219</v>
      </c>
      <c r="B220" s="16">
        <f>INT((A220-1)/7)+1</f>
        <v/>
      </c>
      <c r="C220" s="47">
        <f>'Start Here'!$B$5+A220-1</f>
        <v/>
      </c>
      <c r="D220" s="16">
        <f>TEXT(C220,"ddd")</f>
        <v/>
      </c>
      <c r="E220" s="15" t="inlineStr">
        <is>
          <t>Math Tuesday</t>
        </is>
      </c>
      <c r="F220" s="21" t="inlineStr">
        <is>
          <t>🔢 Numbers &amp; Math</t>
        </is>
      </c>
      <c r="G220" s="15" t="n">
        <v>32</v>
      </c>
      <c r="H220" s="15" t="inlineStr">
        <is>
          <t>Number Before and After</t>
        </is>
      </c>
      <c r="I220" s="15" t="inlineStr">
        <is>
          <t>Number Before and After 🔢 | Learn Math for Kids | Tiny Sparks</t>
        </is>
      </c>
      <c r="J220" s="15" t="inlineStr">
        <is>
          <t>3–5</t>
        </is>
      </c>
      <c r="K220" s="15" t="inlineStr">
        <is>
          <t>Short 9:16</t>
        </is>
      </c>
      <c r="L220" s="15" t="inlineStr">
        <is>
          <t>45–60 s</t>
        </is>
      </c>
      <c r="M220" s="15" t="inlineStr">
        <is>
          <t>Bobo + Mila (counting fingers)</t>
        </is>
      </c>
      <c r="N220" s="15" t="inlineStr">
        <is>
          <t>Math: Number Before and After</t>
        </is>
      </c>
      <c r="O220" s="15" t="inlineStr">
        <is>
          <t>Yes</t>
        </is>
      </c>
      <c r="P220" s="15" t="inlineStr">
        <is>
          <t>P2</t>
        </is>
      </c>
      <c r="Q220" s="15" t="inlineStr">
        <is>
          <t>Idea</t>
        </is>
      </c>
      <c r="R220" s="48">
        <f>INDEX('Start Here'!$B$10:$B$16,WEEKDAY(C220,2))</f>
        <v/>
      </c>
      <c r="S220" s="48">
        <f>MOD(R220+'Start Here'!$B$6/24,1)</f>
        <v/>
      </c>
      <c r="T220" s="15" t="n"/>
      <c r="U220" s="15" t="n"/>
      <c r="V220" s="15" t="n"/>
      <c r="W220" s="15" t="n"/>
      <c r="X220" s="20" t="n"/>
      <c r="Y220" s="15" t="n"/>
    </row>
    <row r="221">
      <c r="A221" s="15" t="n">
        <v>220</v>
      </c>
      <c r="B221" s="16">
        <f>INT((A221-1)/7)+1</f>
        <v/>
      </c>
      <c r="C221" s="47">
        <f>'Start Here'!$B$5+A221-1</f>
        <v/>
      </c>
      <c r="D221" s="16">
        <f>TEXT(C221,"ddd")</f>
        <v/>
      </c>
      <c r="E221" s="15" t="inlineStr">
        <is>
          <t>Word Wednesday</t>
        </is>
      </c>
      <c r="F221" s="22" t="inlineStr">
        <is>
          <t>🔤 English/French Words</t>
        </is>
      </c>
      <c r="G221" s="15" t="n">
        <v>32</v>
      </c>
      <c r="H221" s="15" t="inlineStr">
        <is>
          <t>Big, Small, Tall and Short</t>
        </is>
      </c>
      <c r="I221" s="15" t="inlineStr">
        <is>
          <t>Big, Small, Tall and Short 🔤 | Kids Vocabulary | Tiny Sparks</t>
        </is>
      </c>
      <c r="J221" s="15" t="inlineStr">
        <is>
          <t>3–5</t>
        </is>
      </c>
      <c r="K221" s="15" t="inlineStr">
        <is>
          <t>Short 9:16</t>
        </is>
      </c>
      <c r="L221" s="15" t="inlineStr">
        <is>
          <t>45–60 s</t>
        </is>
      </c>
      <c r="M221" s="15" t="inlineStr">
        <is>
          <t>Mila + French narrator</t>
        </is>
      </c>
      <c r="N221" s="15" t="inlineStr">
        <is>
          <t>Vocabulary EN→FR: Big, Small, Tall and Short</t>
        </is>
      </c>
      <c r="O221" s="15" t="inlineStr">
        <is>
          <t>Yes</t>
        </is>
      </c>
      <c r="P221" s="15" t="inlineStr">
        <is>
          <t>P2</t>
        </is>
      </c>
      <c r="Q221" s="15" t="inlineStr">
        <is>
          <t>Idea</t>
        </is>
      </c>
      <c r="R221" s="48">
        <f>INDEX('Start Here'!$B$10:$B$16,WEEKDAY(C221,2))</f>
        <v/>
      </c>
      <c r="S221" s="48">
        <f>MOD(R221+'Start Here'!$B$6/24,1)</f>
        <v/>
      </c>
      <c r="T221" s="15" t="n"/>
      <c r="U221" s="15" t="n"/>
      <c r="V221" s="15" t="n"/>
      <c r="W221" s="15" t="n"/>
      <c r="X221" s="20" t="n"/>
      <c r="Y221" s="15" t="n"/>
    </row>
    <row r="222">
      <c r="A222" s="15" t="n">
        <v>221</v>
      </c>
      <c r="B222" s="16">
        <f>INT((A222-1)/7)+1</f>
        <v/>
      </c>
      <c r="C222" s="47">
        <f>'Start Here'!$B$5+A222-1</f>
        <v/>
      </c>
      <c r="D222" s="16">
        <f>TEXT(C222,"ddd")</f>
        <v/>
      </c>
      <c r="E222" s="15" t="inlineStr">
        <is>
          <t>Animal Thursday</t>
        </is>
      </c>
      <c r="F222" s="23" t="inlineStr">
        <is>
          <t>🦁 Animal Stories</t>
        </is>
      </c>
      <c r="G222" s="15" t="n">
        <v>32</v>
      </c>
      <c r="H222" s="15" t="inlineStr">
        <is>
          <t>The Polar Bear's Winter Adventure</t>
        </is>
      </c>
      <c r="I222" s="15" t="inlineStr">
        <is>
          <t>The Polar Bear's Winter Adventure 🦁 | Animal Stories for Kids | Tiny Sparks</t>
        </is>
      </c>
      <c r="J222" s="15" t="inlineStr">
        <is>
          <t>3–5</t>
        </is>
      </c>
      <c r="K222" s="15" t="inlineStr">
        <is>
          <t>Long 16:9 + Short teaser</t>
        </is>
      </c>
      <c r="L222" s="15" t="inlineStr">
        <is>
          <t>3–5 min (Short: 50 s)</t>
        </is>
      </c>
      <c r="M222" s="15" t="inlineStr">
        <is>
          <t>guest animal(s) + Bobo</t>
        </is>
      </c>
      <c r="N222" s="15" t="inlineStr">
        <is>
          <t>Story + 3 true animal facts; value: friendship</t>
        </is>
      </c>
      <c r="O222" s="15" t="inlineStr">
        <is>
          <t>Yes</t>
        </is>
      </c>
      <c r="P222" s="15" t="inlineStr">
        <is>
          <t>P2</t>
        </is>
      </c>
      <c r="Q222" s="15" t="inlineStr">
        <is>
          <t>Idea</t>
        </is>
      </c>
      <c r="R222" s="48">
        <f>INDEX('Start Here'!$B$10:$B$16,WEEKDAY(C222,2))</f>
        <v/>
      </c>
      <c r="S222" s="48">
        <f>MOD(R222+'Start Here'!$B$6/24,1)</f>
        <v/>
      </c>
      <c r="T222" s="15" t="n"/>
      <c r="U222" s="15" t="n"/>
      <c r="V222" s="15" t="n"/>
      <c r="W222" s="15" t="n"/>
      <c r="X222" s="20" t="n"/>
      <c r="Y222" s="15" t="n"/>
    </row>
    <row r="223">
      <c r="A223" s="15" t="n">
        <v>222</v>
      </c>
      <c r="B223" s="16">
        <f>INT((A223-1)/7)+1</f>
        <v/>
      </c>
      <c r="C223" s="47">
        <f>'Start Here'!$B$5+A223-1</f>
        <v/>
      </c>
      <c r="D223" s="16">
        <f>TEXT(C223,"ddd")</f>
        <v/>
      </c>
      <c r="E223" s="15" t="inlineStr">
        <is>
          <t>Science Friday</t>
        </is>
      </c>
      <c r="F223" s="24" t="inlineStr">
        <is>
          <t>🚀 Science for Kids</t>
        </is>
      </c>
      <c r="G223" s="15" t="n">
        <v>32</v>
      </c>
      <c r="H223" s="15" t="inlineStr">
        <is>
          <t>How Do Ants Work Together?</t>
        </is>
      </c>
      <c r="I223" s="15" t="inlineStr">
        <is>
          <t>How Do Ants Work Together? 🚀 | Science for Kids | Tiny Sparks</t>
        </is>
      </c>
      <c r="J223" s="15" t="inlineStr">
        <is>
          <t>3–5</t>
        </is>
      </c>
      <c r="K223" s="15" t="inlineStr">
        <is>
          <t>Short 9:16</t>
        </is>
      </c>
      <c r="L223" s="15" t="inlineStr">
        <is>
          <t>45–60 s</t>
        </is>
      </c>
      <c r="M223" s="15" t="inlineStr">
        <is>
          <t>Prof. Hoot + Leo (wrong guess) + Mila</t>
        </is>
      </c>
      <c r="N223" s="15" t="inlineStr">
        <is>
          <t>Answer simply: How Do Ants Work Together?</t>
        </is>
      </c>
      <c r="O223" s="15" t="inlineStr">
        <is>
          <t>Build first: ants</t>
        </is>
      </c>
      <c r="P223" s="15" t="inlineStr">
        <is>
          <t>P2</t>
        </is>
      </c>
      <c r="Q223" s="15" t="inlineStr">
        <is>
          <t>Idea</t>
        </is>
      </c>
      <c r="R223" s="48">
        <f>INDEX('Start Here'!$B$10:$B$16,WEEKDAY(C223,2))</f>
        <v/>
      </c>
      <c r="S223" s="48">
        <f>MOD(R223+'Start Here'!$B$6/24,1)</f>
        <v/>
      </c>
      <c r="T223" s="15" t="n"/>
      <c r="U223" s="15" t="n"/>
      <c r="V223" s="15" t="n"/>
      <c r="W223" s="15" t="n"/>
      <c r="X223" s="20" t="n"/>
      <c r="Y223" s="15" t="n"/>
    </row>
    <row r="224">
      <c r="A224" s="15" t="n">
        <v>223</v>
      </c>
      <c r="B224" s="16">
        <f>INT((A224-1)/7)+1</f>
        <v/>
      </c>
      <c r="C224" s="47">
        <f>'Start Here'!$B$5+A224-1</f>
        <v/>
      </c>
      <c r="D224" s="16">
        <f>TEXT(C224,"ddd")</f>
        <v/>
      </c>
      <c r="E224" s="15" t="inlineStr">
        <is>
          <t>Puzzle Saturday</t>
        </is>
      </c>
      <c r="F224" s="25" t="inlineStr">
        <is>
          <t>🧩 Puzzles &amp; Problem-Solving</t>
        </is>
      </c>
      <c r="G224" s="15" t="n">
        <v>32</v>
      </c>
      <c r="H224" s="15" t="inlineStr">
        <is>
          <t>Animal Maze</t>
        </is>
      </c>
      <c r="I224" s="15" t="inlineStr">
        <is>
          <t>Animal Maze 🧩 | Brain Games for Kids | Tiny Sparks</t>
        </is>
      </c>
      <c r="J224" s="15" t="inlineStr">
        <is>
          <t>6–8</t>
        </is>
      </c>
      <c r="K224" s="15" t="inlineStr">
        <is>
          <t>Short 9:16</t>
        </is>
      </c>
      <c r="L224" s="15" t="inlineStr">
        <is>
          <t>45–60 s</t>
        </is>
      </c>
      <c r="M224" s="15" t="inlineStr">
        <is>
          <t>Prof. Hoot + Leo + score strip</t>
        </is>
      </c>
      <c r="N224" s="15" t="inlineStr">
        <is>
          <t>Thinking skill: spatial thinking</t>
        </is>
      </c>
      <c r="O224" s="15" t="inlineStr">
        <is>
          <t>Yes</t>
        </is>
      </c>
      <c r="P224" s="15" t="inlineStr">
        <is>
          <t>P2</t>
        </is>
      </c>
      <c r="Q224" s="15" t="inlineStr">
        <is>
          <t>Idea</t>
        </is>
      </c>
      <c r="R224" s="48">
        <f>INDEX('Start Here'!$B$10:$B$16,WEEKDAY(C224,2))</f>
        <v/>
      </c>
      <c r="S224" s="48">
        <f>MOD(R224+'Start Here'!$B$6/24,1)</f>
        <v/>
      </c>
      <c r="T224" s="15" t="n"/>
      <c r="U224" s="15" t="n"/>
      <c r="V224" s="15" t="n"/>
      <c r="W224" s="15" t="n"/>
      <c r="X224" s="20" t="n"/>
      <c r="Y224" s="15" t="n"/>
    </row>
    <row r="225">
      <c r="A225" s="15" t="n">
        <v>224</v>
      </c>
      <c r="B225" s="16">
        <f>INT((A225-1)/7)+1</f>
        <v/>
      </c>
      <c r="C225" s="47">
        <f>'Start Here'!$B$5+A225-1</f>
        <v/>
      </c>
      <c r="D225" s="16">
        <f>TEXT(C225,"ddd")</f>
        <v/>
      </c>
      <c r="E225" s="15" t="inlineStr">
        <is>
          <t>Song Sunday</t>
        </is>
      </c>
      <c r="F225" s="26" t="inlineStr">
        <is>
          <t>🎵 Educational Songs</t>
        </is>
      </c>
      <c r="G225" s="15" t="n">
        <v>32</v>
      </c>
      <c r="H225" s="15" t="inlineStr">
        <is>
          <t>Goodbye Song</t>
        </is>
      </c>
      <c r="I225" s="15" t="inlineStr">
        <is>
          <t>Goodbye Song 🎵 | Kids Songs | Tiny Sparks</t>
        </is>
      </c>
      <c r="J225" s="15" t="inlineStr">
        <is>
          <t>3–5</t>
        </is>
      </c>
      <c r="K225" s="15" t="inlineStr">
        <is>
          <t>Long 16:9 + Short cut</t>
        </is>
      </c>
      <c r="L225" s="15" t="inlineStr">
        <is>
          <t>2–3 min (Short: 45 s chorus)</t>
        </is>
      </c>
      <c r="M225" s="15" t="inlineStr">
        <is>
          <t>Mila sings, all dance</t>
        </is>
      </c>
      <c r="N225" s="15" t="inlineStr">
        <is>
          <t>Sing &amp; learn: Goodbye</t>
        </is>
      </c>
      <c r="O225" s="15" t="inlineStr">
        <is>
          <t>Yes</t>
        </is>
      </c>
      <c r="P225" s="15" t="inlineStr">
        <is>
          <t>P2</t>
        </is>
      </c>
      <c r="Q225" s="15" t="inlineStr">
        <is>
          <t>Idea</t>
        </is>
      </c>
      <c r="R225" s="48">
        <f>INDEX('Start Here'!$B$10:$B$16,WEEKDAY(C225,2))</f>
        <v/>
      </c>
      <c r="S225" s="48">
        <f>MOD(R225+'Start Here'!$B$6/24,1)</f>
        <v/>
      </c>
      <c r="T225" s="15" t="n"/>
      <c r="U225" s="15" t="n"/>
      <c r="V225" s="15" t="n"/>
      <c r="W225" s="15" t="n"/>
      <c r="X225" s="20" t="n"/>
      <c r="Y225" s="15" t="n"/>
    </row>
    <row r="226">
      <c r="A226" s="15" t="n">
        <v>225</v>
      </c>
      <c r="B226" s="16">
        <f>INT((A226-1)/7)+1</f>
        <v/>
      </c>
      <c r="C226" s="47">
        <f>'Start Here'!$B$5+A226-1</f>
        <v/>
      </c>
      <c r="D226" s="16">
        <f>TEXT(C226,"ddd")</f>
        <v/>
      </c>
      <c r="E226" s="15" t="inlineStr">
        <is>
          <t>Story Monday</t>
        </is>
      </c>
      <c r="F226" s="18" t="inlineStr">
        <is>
          <t>🧠 Educational Stories</t>
        </is>
      </c>
      <c r="G226" s="15" t="n">
        <v>17</v>
      </c>
      <c r="H226" s="15" t="inlineStr">
        <is>
          <t>The Little Girl Who Helped an Old Turtle</t>
        </is>
      </c>
      <c r="I226" s="15" t="inlineStr">
        <is>
          <t>The Little Girl Who Helped an Old Turtle 🧠 | Kids Stories | Tiny Sparks</t>
        </is>
      </c>
      <c r="J226" s="15" t="inlineStr">
        <is>
          <t>3–5</t>
        </is>
      </c>
      <c r="K226" s="15" t="inlineStr">
        <is>
          <t>Long 16:9 + Short teaser</t>
        </is>
      </c>
      <c r="L226" s="15" t="inlineStr">
        <is>
          <t>3–5 min (Short: 50 s)</t>
        </is>
      </c>
      <c r="M226" s="15" t="inlineStr">
        <is>
          <t>Mila, Leo, Bobo + narrator</t>
        </is>
      </c>
      <c r="N226" s="15" t="inlineStr">
        <is>
          <t>Life skill: helping others</t>
        </is>
      </c>
      <c r="O226" s="15" t="inlineStr">
        <is>
          <t>Build first: turtle</t>
        </is>
      </c>
      <c r="P226" s="15" t="inlineStr">
        <is>
          <t>P2</t>
        </is>
      </c>
      <c r="Q226" s="15" t="inlineStr">
        <is>
          <t>Idea</t>
        </is>
      </c>
      <c r="R226" s="48">
        <f>INDEX('Start Here'!$B$10:$B$16,WEEKDAY(C226,2))</f>
        <v/>
      </c>
      <c r="S226" s="48">
        <f>MOD(R226+'Start Here'!$B$6/24,1)</f>
        <v/>
      </c>
      <c r="T226" s="15" t="n"/>
      <c r="U226" s="15" t="n"/>
      <c r="V226" s="15" t="n"/>
      <c r="W226" s="15" t="n"/>
      <c r="X226" s="20" t="n"/>
      <c r="Y226" s="15" t="n"/>
    </row>
    <row r="227">
      <c r="A227" s="15" t="n">
        <v>226</v>
      </c>
      <c r="B227" s="16">
        <f>INT((A227-1)/7)+1</f>
        <v/>
      </c>
      <c r="C227" s="47">
        <f>'Start Here'!$B$5+A227-1</f>
        <v/>
      </c>
      <c r="D227" s="16">
        <f>TEXT(C227,"ddd")</f>
        <v/>
      </c>
      <c r="E227" s="15" t="inlineStr">
        <is>
          <t>Math Tuesday</t>
        </is>
      </c>
      <c r="F227" s="21" t="inlineStr">
        <is>
          <t>🔢 Numbers &amp; Math</t>
        </is>
      </c>
      <c r="G227" s="15" t="n">
        <v>33</v>
      </c>
      <c r="H227" s="15" t="inlineStr">
        <is>
          <t>Compare Big and Small Numbers</t>
        </is>
      </c>
      <c r="I227" s="15" t="inlineStr">
        <is>
          <t>Compare Big and Small Numbers 🔢 | Learn Math for Kids | Tiny Sparks</t>
        </is>
      </c>
      <c r="J227" s="15" t="inlineStr">
        <is>
          <t>3–5</t>
        </is>
      </c>
      <c r="K227" s="15" t="inlineStr">
        <is>
          <t>Short 9:16</t>
        </is>
      </c>
      <c r="L227" s="15" t="inlineStr">
        <is>
          <t>45–60 s</t>
        </is>
      </c>
      <c r="M227" s="15" t="inlineStr">
        <is>
          <t>Bobo + Mila (counting fingers)</t>
        </is>
      </c>
      <c r="N227" s="15" t="inlineStr">
        <is>
          <t>Math: Compare Big and Small Numbers</t>
        </is>
      </c>
      <c r="O227" s="15" t="inlineStr">
        <is>
          <t>Yes</t>
        </is>
      </c>
      <c r="P227" s="15" t="inlineStr">
        <is>
          <t>P2</t>
        </is>
      </c>
      <c r="Q227" s="15" t="inlineStr">
        <is>
          <t>Idea</t>
        </is>
      </c>
      <c r="R227" s="48">
        <f>INDEX('Start Here'!$B$10:$B$16,WEEKDAY(C227,2))</f>
        <v/>
      </c>
      <c r="S227" s="48">
        <f>MOD(R227+'Start Here'!$B$6/24,1)</f>
        <v/>
      </c>
      <c r="T227" s="15" t="n"/>
      <c r="U227" s="15" t="n"/>
      <c r="V227" s="15" t="n"/>
      <c r="W227" s="15" t="n"/>
      <c r="X227" s="20" t="n"/>
      <c r="Y227" s="15" t="n"/>
    </row>
    <row r="228">
      <c r="A228" s="15" t="n">
        <v>227</v>
      </c>
      <c r="B228" s="16">
        <f>INT((A228-1)/7)+1</f>
        <v/>
      </c>
      <c r="C228" s="47">
        <f>'Start Here'!$B$5+A228-1</f>
        <v/>
      </c>
      <c r="D228" s="16">
        <f>TEXT(C228,"ddd")</f>
        <v/>
      </c>
      <c r="E228" s="15" t="inlineStr">
        <is>
          <t>Word Wednesday</t>
        </is>
      </c>
      <c r="F228" s="22" t="inlineStr">
        <is>
          <t>🔤 English/French Words</t>
        </is>
      </c>
      <c r="G228" s="15" t="n">
        <v>33</v>
      </c>
      <c r="H228" s="15" t="inlineStr">
        <is>
          <t>Hot and Cold</t>
        </is>
      </c>
      <c r="I228" s="15" t="inlineStr">
        <is>
          <t>Hot and Cold 🔤 | Kids Vocabulary | Tiny Sparks</t>
        </is>
      </c>
      <c r="J228" s="15" t="inlineStr">
        <is>
          <t>3–5</t>
        </is>
      </c>
      <c r="K228" s="15" t="inlineStr">
        <is>
          <t>Short 9:16</t>
        </is>
      </c>
      <c r="L228" s="15" t="inlineStr">
        <is>
          <t>45–60 s</t>
        </is>
      </c>
      <c r="M228" s="15" t="inlineStr">
        <is>
          <t>Mila + French narrator</t>
        </is>
      </c>
      <c r="N228" s="15" t="inlineStr">
        <is>
          <t>Vocabulary EN→FR: Hot and Cold</t>
        </is>
      </c>
      <c r="O228" s="15" t="inlineStr">
        <is>
          <t>Yes</t>
        </is>
      </c>
      <c r="P228" s="15" t="inlineStr">
        <is>
          <t>P2</t>
        </is>
      </c>
      <c r="Q228" s="15" t="inlineStr">
        <is>
          <t>Idea</t>
        </is>
      </c>
      <c r="R228" s="48">
        <f>INDEX('Start Here'!$B$10:$B$16,WEEKDAY(C228,2))</f>
        <v/>
      </c>
      <c r="S228" s="48">
        <f>MOD(R228+'Start Here'!$B$6/24,1)</f>
        <v/>
      </c>
      <c r="T228" s="15" t="n"/>
      <c r="U228" s="15" t="n"/>
      <c r="V228" s="15" t="n"/>
      <c r="W228" s="15" t="n"/>
      <c r="X228" s="20" t="n"/>
      <c r="Y228" s="15" t="n"/>
    </row>
    <row r="229">
      <c r="A229" s="15" t="n">
        <v>228</v>
      </c>
      <c r="B229" s="16">
        <f>INT((A229-1)/7)+1</f>
        <v/>
      </c>
      <c r="C229" s="47">
        <f>'Start Here'!$B$5+A229-1</f>
        <v/>
      </c>
      <c r="D229" s="16">
        <f>TEXT(C229,"ddd")</f>
        <v/>
      </c>
      <c r="E229" s="15" t="inlineStr">
        <is>
          <t>Animal Thursday</t>
        </is>
      </c>
      <c r="F229" s="23" t="inlineStr">
        <is>
          <t>🦁 Animal Stories</t>
        </is>
      </c>
      <c r="G229" s="15" t="n">
        <v>33</v>
      </c>
      <c r="H229" s="15" t="inlineStr">
        <is>
          <t>The Fox and the Snowstorm</t>
        </is>
      </c>
      <c r="I229" s="15" t="inlineStr">
        <is>
          <t>The Fox and the Snowstorm 🦁 | Animal Stories for Kids | Tiny Sparks</t>
        </is>
      </c>
      <c r="J229" s="15" t="inlineStr">
        <is>
          <t>3–5</t>
        </is>
      </c>
      <c r="K229" s="15" t="inlineStr">
        <is>
          <t>Long 16:9 + Short teaser</t>
        </is>
      </c>
      <c r="L229" s="15" t="inlineStr">
        <is>
          <t>3–5 min (Short: 50 s)</t>
        </is>
      </c>
      <c r="M229" s="15" t="inlineStr">
        <is>
          <t>guest animal(s) + Bobo</t>
        </is>
      </c>
      <c r="N229" s="15" t="inlineStr">
        <is>
          <t>Story + 3 true animal facts; value: friendship</t>
        </is>
      </c>
      <c r="O229" s="15" t="inlineStr">
        <is>
          <t>Yes</t>
        </is>
      </c>
      <c r="P229" s="15" t="inlineStr">
        <is>
          <t>P2</t>
        </is>
      </c>
      <c r="Q229" s="15" t="inlineStr">
        <is>
          <t>Idea</t>
        </is>
      </c>
      <c r="R229" s="48">
        <f>INDEX('Start Here'!$B$10:$B$16,WEEKDAY(C229,2))</f>
        <v/>
      </c>
      <c r="S229" s="48">
        <f>MOD(R229+'Start Here'!$B$6/24,1)</f>
        <v/>
      </c>
      <c r="T229" s="15" t="n"/>
      <c r="U229" s="15" t="n"/>
      <c r="V229" s="15" t="n"/>
      <c r="W229" s="15" t="n"/>
      <c r="X229" s="20" t="n"/>
      <c r="Y229" s="15" t="n"/>
    </row>
    <row r="230">
      <c r="A230" s="15" t="n">
        <v>229</v>
      </c>
      <c r="B230" s="16">
        <f>INT((A230-1)/7)+1</f>
        <v/>
      </c>
      <c r="C230" s="47">
        <f>'Start Here'!$B$5+A230-1</f>
        <v/>
      </c>
      <c r="D230" s="16">
        <f>TEXT(C230,"ddd")</f>
        <v/>
      </c>
      <c r="E230" s="15" t="inlineStr">
        <is>
          <t>Science Friday</t>
        </is>
      </c>
      <c r="F230" s="24" t="inlineStr">
        <is>
          <t>🚀 Science for Kids</t>
        </is>
      </c>
      <c r="G230" s="15" t="n">
        <v>33</v>
      </c>
      <c r="H230" s="15" t="inlineStr">
        <is>
          <t>How Do Butterflies Change?</t>
        </is>
      </c>
      <c r="I230" s="15" t="inlineStr">
        <is>
          <t>How Do Butterflies Change? 🚀 | Science for Kids | Tiny Sparks</t>
        </is>
      </c>
      <c r="J230" s="15" t="inlineStr">
        <is>
          <t>3–5</t>
        </is>
      </c>
      <c r="K230" s="15" t="inlineStr">
        <is>
          <t>Short 9:16</t>
        </is>
      </c>
      <c r="L230" s="15" t="inlineStr">
        <is>
          <t>45–60 s</t>
        </is>
      </c>
      <c r="M230" s="15" t="inlineStr">
        <is>
          <t>Prof. Hoot + Leo (wrong guess) + Mila</t>
        </is>
      </c>
      <c r="N230" s="15" t="inlineStr">
        <is>
          <t>Answer simply: How Do Butterflies Change?</t>
        </is>
      </c>
      <c r="O230" s="15" t="inlineStr">
        <is>
          <t>Build first: butterflies</t>
        </is>
      </c>
      <c r="P230" s="15" t="inlineStr">
        <is>
          <t>P2</t>
        </is>
      </c>
      <c r="Q230" s="15" t="inlineStr">
        <is>
          <t>Idea</t>
        </is>
      </c>
      <c r="R230" s="48">
        <f>INDEX('Start Here'!$B$10:$B$16,WEEKDAY(C230,2))</f>
        <v/>
      </c>
      <c r="S230" s="48">
        <f>MOD(R230+'Start Here'!$B$6/24,1)</f>
        <v/>
      </c>
      <c r="T230" s="15" t="n"/>
      <c r="U230" s="15" t="n"/>
      <c r="V230" s="15" t="n"/>
      <c r="W230" s="15" t="n"/>
      <c r="X230" s="20" t="n"/>
      <c r="Y230" s="15" t="n"/>
    </row>
    <row r="231">
      <c r="A231" s="15" t="n">
        <v>230</v>
      </c>
      <c r="B231" s="16">
        <f>INT((A231-1)/7)+1</f>
        <v/>
      </c>
      <c r="C231" s="47">
        <f>'Start Here'!$B$5+A231-1</f>
        <v/>
      </c>
      <c r="D231" s="16">
        <f>TEXT(C231,"ddd")</f>
        <v/>
      </c>
      <c r="E231" s="15" t="inlineStr">
        <is>
          <t>Puzzle Saturday</t>
        </is>
      </c>
      <c r="F231" s="25" t="inlineStr">
        <is>
          <t>🧩 Puzzles &amp; Problem-Solving</t>
        </is>
      </c>
      <c r="G231" s="15" t="n">
        <v>33</v>
      </c>
      <c r="H231" s="15" t="inlineStr">
        <is>
          <t>Jungle Maze</t>
        </is>
      </c>
      <c r="I231" s="15" t="inlineStr">
        <is>
          <t>Jungle Maze 🧩 | Brain Games for Kids | Tiny Sparks</t>
        </is>
      </c>
      <c r="J231" s="15" t="inlineStr">
        <is>
          <t>6–8</t>
        </is>
      </c>
      <c r="K231" s="15" t="inlineStr">
        <is>
          <t>Short 9:16</t>
        </is>
      </c>
      <c r="L231" s="15" t="inlineStr">
        <is>
          <t>45–60 s</t>
        </is>
      </c>
      <c r="M231" s="15" t="inlineStr">
        <is>
          <t>Prof. Hoot + Leo + score strip</t>
        </is>
      </c>
      <c r="N231" s="15" t="inlineStr">
        <is>
          <t>Thinking skill: spatial thinking</t>
        </is>
      </c>
      <c r="O231" s="15" t="inlineStr">
        <is>
          <t>Build first: jungle</t>
        </is>
      </c>
      <c r="P231" s="15" t="inlineStr">
        <is>
          <t>P2</t>
        </is>
      </c>
      <c r="Q231" s="15" t="inlineStr">
        <is>
          <t>Idea</t>
        </is>
      </c>
      <c r="R231" s="48">
        <f>INDEX('Start Here'!$B$10:$B$16,WEEKDAY(C231,2))</f>
        <v/>
      </c>
      <c r="S231" s="48">
        <f>MOD(R231+'Start Here'!$B$6/24,1)</f>
        <v/>
      </c>
      <c r="T231" s="15" t="n"/>
      <c r="U231" s="15" t="n"/>
      <c r="V231" s="15" t="n"/>
      <c r="W231" s="15" t="n"/>
      <c r="X231" s="20" t="n"/>
      <c r="Y231" s="15" t="n"/>
    </row>
    <row r="232">
      <c r="A232" s="15" t="n">
        <v>231</v>
      </c>
      <c r="B232" s="16">
        <f>INT((A232-1)/7)+1</f>
        <v/>
      </c>
      <c r="C232" s="47">
        <f>'Start Here'!$B$5+A232-1</f>
        <v/>
      </c>
      <c r="D232" s="16">
        <f>TEXT(C232,"ddd")</f>
        <v/>
      </c>
      <c r="E232" s="15" t="inlineStr">
        <is>
          <t>Song Sunday</t>
        </is>
      </c>
      <c r="F232" s="26" t="inlineStr">
        <is>
          <t>🎵 Educational Songs</t>
        </is>
      </c>
      <c r="G232" s="15" t="n">
        <v>33</v>
      </c>
      <c r="H232" s="15" t="inlineStr">
        <is>
          <t>Please and Thank You Song</t>
        </is>
      </c>
      <c r="I232" s="15" t="inlineStr">
        <is>
          <t>Please and Thank You Song 🎵 | Kids Songs | Tiny Sparks</t>
        </is>
      </c>
      <c r="J232" s="15" t="inlineStr">
        <is>
          <t>3–5</t>
        </is>
      </c>
      <c r="K232" s="15" t="inlineStr">
        <is>
          <t>Long 16:9 + Short cut</t>
        </is>
      </c>
      <c r="L232" s="15" t="inlineStr">
        <is>
          <t>2–3 min (Short: 45 s chorus)</t>
        </is>
      </c>
      <c r="M232" s="15" t="inlineStr">
        <is>
          <t>Mila sings, all dance</t>
        </is>
      </c>
      <c r="N232" s="15" t="inlineStr">
        <is>
          <t>Sing &amp; learn: Please and Thank You</t>
        </is>
      </c>
      <c r="O232" s="15" t="inlineStr">
        <is>
          <t>Yes</t>
        </is>
      </c>
      <c r="P232" s="15" t="inlineStr">
        <is>
          <t>P2</t>
        </is>
      </c>
      <c r="Q232" s="15" t="inlineStr">
        <is>
          <t>Idea</t>
        </is>
      </c>
      <c r="R232" s="48">
        <f>INDEX('Start Here'!$B$10:$B$16,WEEKDAY(C232,2))</f>
        <v/>
      </c>
      <c r="S232" s="48">
        <f>MOD(R232+'Start Here'!$B$6/24,1)</f>
        <v/>
      </c>
      <c r="T232" s="15" t="n"/>
      <c r="U232" s="15" t="n"/>
      <c r="V232" s="15" t="n"/>
      <c r="W232" s="15" t="n"/>
      <c r="X232" s="20" t="n"/>
      <c r="Y232" s="15" t="n"/>
    </row>
    <row r="233">
      <c r="A233" s="15" t="n">
        <v>232</v>
      </c>
      <c r="B233" s="16">
        <f>INT((A233-1)/7)+1</f>
        <v/>
      </c>
      <c r="C233" s="47">
        <f>'Start Here'!$B$5+A233-1</f>
        <v/>
      </c>
      <c r="D233" s="16">
        <f>TEXT(C233,"ddd")</f>
        <v/>
      </c>
      <c r="E233" s="15" t="inlineStr">
        <is>
          <t>Story Monday</t>
        </is>
      </c>
      <c r="F233" s="27" t="inlineStr">
        <is>
          <t>📚 Moral Stories</t>
        </is>
      </c>
      <c r="G233" s="15" t="n">
        <v>17</v>
      </c>
      <c r="H233" s="15" t="inlineStr">
        <is>
          <t>The Hardworking Ant</t>
        </is>
      </c>
      <c r="I233" s="15" t="inlineStr">
        <is>
          <t>The Hardworking Ant 📚 | Moral Stories for Kids | Tiny Sparks</t>
        </is>
      </c>
      <c r="J233" s="15" t="inlineStr">
        <is>
          <t>6–8</t>
        </is>
      </c>
      <c r="K233" s="15" t="inlineStr">
        <is>
          <t>Long 16:9 + Short teaser</t>
        </is>
      </c>
      <c r="L233" s="15" t="inlineStr">
        <is>
          <t>3–5 min (Short: 50 s)</t>
        </is>
      </c>
      <c r="M233" s="15" t="inlineStr">
        <is>
          <t>narrator + guest animals / Mila &amp; Leo</t>
        </is>
      </c>
      <c r="N233" s="15" t="inlineStr">
        <is>
          <t>Value: hard work</t>
        </is>
      </c>
      <c r="O233" s="15" t="inlineStr">
        <is>
          <t>Build first: ant</t>
        </is>
      </c>
      <c r="P233" s="15" t="inlineStr">
        <is>
          <t>P2</t>
        </is>
      </c>
      <c r="Q233" s="15" t="inlineStr">
        <is>
          <t>Idea</t>
        </is>
      </c>
      <c r="R233" s="48">
        <f>INDEX('Start Here'!$B$10:$B$16,WEEKDAY(C233,2))</f>
        <v/>
      </c>
      <c r="S233" s="48">
        <f>MOD(R233+'Start Here'!$B$6/24,1)</f>
        <v/>
      </c>
      <c r="T233" s="15" t="n"/>
      <c r="U233" s="15" t="n"/>
      <c r="V233" s="15" t="n"/>
      <c r="W233" s="15" t="n"/>
      <c r="X233" s="20" t="n"/>
      <c r="Y233" s="15" t="n"/>
    </row>
    <row r="234">
      <c r="A234" s="15" t="n">
        <v>233</v>
      </c>
      <c r="B234" s="16">
        <f>INT((A234-1)/7)+1</f>
        <v/>
      </c>
      <c r="C234" s="47">
        <f>'Start Here'!$B$5+A234-1</f>
        <v/>
      </c>
      <c r="D234" s="16">
        <f>TEXT(C234,"ddd")</f>
        <v/>
      </c>
      <c r="E234" s="15" t="inlineStr">
        <is>
          <t>Math Tuesday</t>
        </is>
      </c>
      <c r="F234" s="21" t="inlineStr">
        <is>
          <t>🔢 Numbers &amp; Math</t>
        </is>
      </c>
      <c r="G234" s="15" t="n">
        <v>34</v>
      </c>
      <c r="H234" s="15" t="inlineStr">
        <is>
          <t>Greater Than or Less Than</t>
        </is>
      </c>
      <c r="I234" s="15" t="inlineStr">
        <is>
          <t>Greater Than or Less Than 🔢 | Learn Math for Kids | Tiny Sparks</t>
        </is>
      </c>
      <c r="J234" s="15" t="inlineStr">
        <is>
          <t>6–8</t>
        </is>
      </c>
      <c r="K234" s="15" t="inlineStr">
        <is>
          <t>Short 9:16</t>
        </is>
      </c>
      <c r="L234" s="15" t="inlineStr">
        <is>
          <t>45–60 s</t>
        </is>
      </c>
      <c r="M234" s="15" t="inlineStr">
        <is>
          <t>Bobo + Mila (counting fingers)</t>
        </is>
      </c>
      <c r="N234" s="15" t="inlineStr">
        <is>
          <t>Math: Greater Than or Less Than</t>
        </is>
      </c>
      <c r="O234" s="15" t="inlineStr">
        <is>
          <t>Yes</t>
        </is>
      </c>
      <c r="P234" s="15" t="inlineStr">
        <is>
          <t>P2</t>
        </is>
      </c>
      <c r="Q234" s="15" t="inlineStr">
        <is>
          <t>Idea</t>
        </is>
      </c>
      <c r="R234" s="48">
        <f>INDEX('Start Here'!$B$10:$B$16,WEEKDAY(C234,2))</f>
        <v/>
      </c>
      <c r="S234" s="48">
        <f>MOD(R234+'Start Here'!$B$6/24,1)</f>
        <v/>
      </c>
      <c r="T234" s="15" t="n"/>
      <c r="U234" s="15" t="n"/>
      <c r="V234" s="15" t="n"/>
      <c r="W234" s="15" t="n"/>
      <c r="X234" s="20" t="n"/>
      <c r="Y234" s="15" t="n"/>
    </row>
    <row r="235">
      <c r="A235" s="15" t="n">
        <v>234</v>
      </c>
      <c r="B235" s="16">
        <f>INT((A235-1)/7)+1</f>
        <v/>
      </c>
      <c r="C235" s="47">
        <f>'Start Here'!$B$5+A235-1</f>
        <v/>
      </c>
      <c r="D235" s="16">
        <f>TEXT(C235,"ddd")</f>
        <v/>
      </c>
      <c r="E235" s="15" t="inlineStr">
        <is>
          <t>Word Wednesday</t>
        </is>
      </c>
      <c r="F235" s="22" t="inlineStr">
        <is>
          <t>🔤 English/French Words</t>
        </is>
      </c>
      <c r="G235" s="15" t="n">
        <v>34</v>
      </c>
      <c r="H235" s="15" t="inlineStr">
        <is>
          <t>Fast and Slow</t>
        </is>
      </c>
      <c r="I235" s="15" t="inlineStr">
        <is>
          <t>Fast and Slow 🔤 | Kids Vocabulary | Tiny Sparks</t>
        </is>
      </c>
      <c r="J235" s="15" t="inlineStr">
        <is>
          <t>3–5</t>
        </is>
      </c>
      <c r="K235" s="15" t="inlineStr">
        <is>
          <t>Short 9:16</t>
        </is>
      </c>
      <c r="L235" s="15" t="inlineStr">
        <is>
          <t>45–60 s</t>
        </is>
      </c>
      <c r="M235" s="15" t="inlineStr">
        <is>
          <t>Mila + French narrator</t>
        </is>
      </c>
      <c r="N235" s="15" t="inlineStr">
        <is>
          <t>Vocabulary EN→FR: Fast and Slow</t>
        </is>
      </c>
      <c r="O235" s="15" t="inlineStr">
        <is>
          <t>Yes</t>
        </is>
      </c>
      <c r="P235" s="15" t="inlineStr">
        <is>
          <t>P2</t>
        </is>
      </c>
      <c r="Q235" s="15" t="inlineStr">
        <is>
          <t>Idea</t>
        </is>
      </c>
      <c r="R235" s="48">
        <f>INDEX('Start Here'!$B$10:$B$16,WEEKDAY(C235,2))</f>
        <v/>
      </c>
      <c r="S235" s="48">
        <f>MOD(R235+'Start Here'!$B$6/24,1)</f>
        <v/>
      </c>
      <c r="T235" s="15" t="n"/>
      <c r="U235" s="15" t="n"/>
      <c r="V235" s="15" t="n"/>
      <c r="W235" s="15" t="n"/>
      <c r="X235" s="20" t="n"/>
      <c r="Y235" s="15" t="n"/>
    </row>
    <row r="236">
      <c r="A236" s="15" t="n">
        <v>235</v>
      </c>
      <c r="B236" s="16">
        <f>INT((A236-1)/7)+1</f>
        <v/>
      </c>
      <c r="C236" s="47">
        <f>'Start Here'!$B$5+A236-1</f>
        <v/>
      </c>
      <c r="D236" s="16">
        <f>TEXT(C236,"ddd")</f>
        <v/>
      </c>
      <c r="E236" s="15" t="inlineStr">
        <is>
          <t>Animal Thursday</t>
        </is>
      </c>
      <c r="F236" s="23" t="inlineStr">
        <is>
          <t>🦁 Animal Stories</t>
        </is>
      </c>
      <c r="G236" s="15" t="n">
        <v>34</v>
      </c>
      <c r="H236" s="15" t="inlineStr">
        <is>
          <t>The Rabbit's Rainy Day</t>
        </is>
      </c>
      <c r="I236" s="15" t="inlineStr">
        <is>
          <t>The Rabbit's Rainy Day 🦁 | Animal Stories for Kids | Tiny Sparks</t>
        </is>
      </c>
      <c r="J236" s="15" t="inlineStr">
        <is>
          <t>3–5</t>
        </is>
      </c>
      <c r="K236" s="15" t="inlineStr">
        <is>
          <t>Long 16:9 + Short teaser</t>
        </is>
      </c>
      <c r="L236" s="15" t="inlineStr">
        <is>
          <t>3–5 min (Short: 50 s)</t>
        </is>
      </c>
      <c r="M236" s="15" t="inlineStr">
        <is>
          <t>guest animal(s) + Bobo</t>
        </is>
      </c>
      <c r="N236" s="15" t="inlineStr">
        <is>
          <t>Story + 3 true animal facts; value: friendship</t>
        </is>
      </c>
      <c r="O236" s="15" t="inlineStr">
        <is>
          <t>Yes</t>
        </is>
      </c>
      <c r="P236" s="15" t="inlineStr">
        <is>
          <t>P2</t>
        </is>
      </c>
      <c r="Q236" s="15" t="inlineStr">
        <is>
          <t>Idea</t>
        </is>
      </c>
      <c r="R236" s="48">
        <f>INDEX('Start Here'!$B$10:$B$16,WEEKDAY(C236,2))</f>
        <v/>
      </c>
      <c r="S236" s="48">
        <f>MOD(R236+'Start Here'!$B$6/24,1)</f>
        <v/>
      </c>
      <c r="T236" s="15" t="n"/>
      <c r="U236" s="15" t="n"/>
      <c r="V236" s="15" t="n"/>
      <c r="W236" s="15" t="n"/>
      <c r="X236" s="20" t="n"/>
      <c r="Y236" s="15" t="n"/>
    </row>
    <row r="237">
      <c r="A237" s="15" t="n">
        <v>236</v>
      </c>
      <c r="B237" s="16">
        <f>INT((A237-1)/7)+1</f>
        <v/>
      </c>
      <c r="C237" s="47">
        <f>'Start Here'!$B$5+A237-1</f>
        <v/>
      </c>
      <c r="D237" s="16">
        <f>TEXT(C237,"ddd")</f>
        <v/>
      </c>
      <c r="E237" s="15" t="inlineStr">
        <is>
          <t>Science Friday</t>
        </is>
      </c>
      <c r="F237" s="24" t="inlineStr">
        <is>
          <t>🚀 Science for Kids</t>
        </is>
      </c>
      <c r="G237" s="15" t="n">
        <v>34</v>
      </c>
      <c r="H237" s="15" t="inlineStr">
        <is>
          <t>The Life Cycle of a Frog</t>
        </is>
      </c>
      <c r="I237" s="15" t="inlineStr">
        <is>
          <t>The Life Cycle of a Frog 🚀 | Science for Kids | Tiny Sparks</t>
        </is>
      </c>
      <c r="J237" s="15" t="inlineStr">
        <is>
          <t>6–8</t>
        </is>
      </c>
      <c r="K237" s="15" t="inlineStr">
        <is>
          <t>Long 16:9</t>
        </is>
      </c>
      <c r="L237" s="15" t="inlineStr">
        <is>
          <t>4–8 min</t>
        </is>
      </c>
      <c r="M237" s="15" t="inlineStr">
        <is>
          <t>Prof. Hoot + Leo (wrong guess) + Mila</t>
        </is>
      </c>
      <c r="N237" s="15" t="inlineStr">
        <is>
          <t>Answer simply: The Life Cycle of a Frog</t>
        </is>
      </c>
      <c r="O237" s="15" t="inlineStr">
        <is>
          <t>Yes</t>
        </is>
      </c>
      <c r="P237" s="15" t="inlineStr">
        <is>
          <t>P2</t>
        </is>
      </c>
      <c r="Q237" s="15" t="inlineStr">
        <is>
          <t>Idea</t>
        </is>
      </c>
      <c r="R237" s="48">
        <f>INDEX('Start Here'!$B$10:$B$16,WEEKDAY(C237,2))</f>
        <v/>
      </c>
      <c r="S237" s="48">
        <f>MOD(R237+'Start Here'!$B$6/24,1)</f>
        <v/>
      </c>
      <c r="T237" s="15" t="n"/>
      <c r="U237" s="15" t="n"/>
      <c r="V237" s="15" t="n"/>
      <c r="W237" s="15" t="n"/>
      <c r="X237" s="20" t="n"/>
      <c r="Y237" s="15" t="n"/>
    </row>
    <row r="238">
      <c r="A238" s="15" t="n">
        <v>237</v>
      </c>
      <c r="B238" s="16">
        <f>INT((A238-1)/7)+1</f>
        <v/>
      </c>
      <c r="C238" s="47">
        <f>'Start Here'!$B$5+A238-1</f>
        <v/>
      </c>
      <c r="D238" s="16">
        <f>TEXT(C238,"ddd")</f>
        <v/>
      </c>
      <c r="E238" s="15" t="inlineStr">
        <is>
          <t>Puzzle Saturday</t>
        </is>
      </c>
      <c r="F238" s="25" t="inlineStr">
        <is>
          <t>🧩 Puzzles &amp; Problem-Solving</t>
        </is>
      </c>
      <c r="G238" s="15" t="n">
        <v>34</v>
      </c>
      <c r="H238" s="15" t="inlineStr">
        <is>
          <t>Space Maze</t>
        </is>
      </c>
      <c r="I238" s="15" t="inlineStr">
        <is>
          <t>Space Maze 🧩 | Brain Games for Kids | Tiny Sparks</t>
        </is>
      </c>
      <c r="J238" s="15" t="inlineStr">
        <is>
          <t>6–8</t>
        </is>
      </c>
      <c r="K238" s="15" t="inlineStr">
        <is>
          <t>Short 9:16</t>
        </is>
      </c>
      <c r="L238" s="15" t="inlineStr">
        <is>
          <t>45–60 s</t>
        </is>
      </c>
      <c r="M238" s="15" t="inlineStr">
        <is>
          <t>Prof. Hoot + Leo + score strip</t>
        </is>
      </c>
      <c r="N238" s="15" t="inlineStr">
        <is>
          <t>Thinking skill: spatial thinking</t>
        </is>
      </c>
      <c r="O238" s="15" t="inlineStr">
        <is>
          <t>Yes</t>
        </is>
      </c>
      <c r="P238" s="15" t="inlineStr">
        <is>
          <t>P2</t>
        </is>
      </c>
      <c r="Q238" s="15" t="inlineStr">
        <is>
          <t>Idea</t>
        </is>
      </c>
      <c r="R238" s="48">
        <f>INDEX('Start Here'!$B$10:$B$16,WEEKDAY(C238,2))</f>
        <v/>
      </c>
      <c r="S238" s="48">
        <f>MOD(R238+'Start Here'!$B$6/24,1)</f>
        <v/>
      </c>
      <c r="T238" s="15" t="n"/>
      <c r="U238" s="15" t="n"/>
      <c r="V238" s="15" t="n"/>
      <c r="W238" s="15" t="n"/>
      <c r="X238" s="20" t="n"/>
      <c r="Y238" s="15" t="n"/>
    </row>
    <row r="239">
      <c r="A239" s="15" t="n">
        <v>238</v>
      </c>
      <c r="B239" s="16">
        <f>INT((A239-1)/7)+1</f>
        <v/>
      </c>
      <c r="C239" s="47">
        <f>'Start Here'!$B$5+A239-1</f>
        <v/>
      </c>
      <c r="D239" s="16">
        <f>TEXT(C239,"ddd")</f>
        <v/>
      </c>
      <c r="E239" s="15" t="inlineStr">
        <is>
          <t>Song Sunday</t>
        </is>
      </c>
      <c r="F239" s="26" t="inlineStr">
        <is>
          <t>🎵 Educational Songs</t>
        </is>
      </c>
      <c r="G239" s="15" t="n">
        <v>34</v>
      </c>
      <c r="H239" s="15" t="inlineStr">
        <is>
          <t>Sorry Song</t>
        </is>
      </c>
      <c r="I239" s="15" t="inlineStr">
        <is>
          <t>Sorry Song 🎵 | Kids Songs | Tiny Sparks</t>
        </is>
      </c>
      <c r="J239" s="15" t="inlineStr">
        <is>
          <t>3–5</t>
        </is>
      </c>
      <c r="K239" s="15" t="inlineStr">
        <is>
          <t>Long 16:9 + Short cut</t>
        </is>
      </c>
      <c r="L239" s="15" t="inlineStr">
        <is>
          <t>2–3 min (Short: 45 s chorus)</t>
        </is>
      </c>
      <c r="M239" s="15" t="inlineStr">
        <is>
          <t>Mila sings, all dance</t>
        </is>
      </c>
      <c r="N239" s="15" t="inlineStr">
        <is>
          <t>Sing &amp; learn: Sorry</t>
        </is>
      </c>
      <c r="O239" s="15" t="inlineStr">
        <is>
          <t>Yes</t>
        </is>
      </c>
      <c r="P239" s="15" t="inlineStr">
        <is>
          <t>P2</t>
        </is>
      </c>
      <c r="Q239" s="15" t="inlineStr">
        <is>
          <t>Idea</t>
        </is>
      </c>
      <c r="R239" s="48">
        <f>INDEX('Start Here'!$B$10:$B$16,WEEKDAY(C239,2))</f>
        <v/>
      </c>
      <c r="S239" s="48">
        <f>MOD(R239+'Start Here'!$B$6/24,1)</f>
        <v/>
      </c>
      <c r="T239" s="15" t="n"/>
      <c r="U239" s="15" t="n"/>
      <c r="V239" s="15" t="n"/>
      <c r="W239" s="15" t="n"/>
      <c r="X239" s="20" t="n"/>
      <c r="Y239" s="15" t="n"/>
    </row>
    <row r="240">
      <c r="A240" s="15" t="n">
        <v>239</v>
      </c>
      <c r="B240" s="16">
        <f>INT((A240-1)/7)+1</f>
        <v/>
      </c>
      <c r="C240" s="47">
        <f>'Start Here'!$B$5+A240-1</f>
        <v/>
      </c>
      <c r="D240" s="16">
        <f>TEXT(C240,"ddd")</f>
        <v/>
      </c>
      <c r="E240" s="15" t="inlineStr">
        <is>
          <t>Story Monday</t>
        </is>
      </c>
      <c r="F240" s="18" t="inlineStr">
        <is>
          <t>🧠 Educational Stories</t>
        </is>
      </c>
      <c r="G240" s="15" t="n">
        <v>18</v>
      </c>
      <c r="H240" s="15" t="inlineStr">
        <is>
          <t>Leo Learns Not to Give Up</t>
        </is>
      </c>
      <c r="I240" s="15" t="inlineStr">
        <is>
          <t>Leo Learns Not to Give Up 🧠 | Kids Stories | Tiny Sparks</t>
        </is>
      </c>
      <c r="J240" s="15" t="inlineStr">
        <is>
          <t>3–5</t>
        </is>
      </c>
      <c r="K240" s="15" t="inlineStr">
        <is>
          <t>Long 16:9 + Short teaser</t>
        </is>
      </c>
      <c r="L240" s="15" t="inlineStr">
        <is>
          <t>3–5 min (Short: 50 s)</t>
        </is>
      </c>
      <c r="M240" s="15" t="inlineStr">
        <is>
          <t>Leo (lead) · Mila, Leo, Bobo + narrator</t>
        </is>
      </c>
      <c r="N240" s="15" t="inlineStr">
        <is>
          <t>Life skill: Not to Give Up</t>
        </is>
      </c>
      <c r="O240" s="15" t="inlineStr">
        <is>
          <t>Yes</t>
        </is>
      </c>
      <c r="P240" s="15" t="inlineStr">
        <is>
          <t>P2</t>
        </is>
      </c>
      <c r="Q240" s="15" t="inlineStr">
        <is>
          <t>Idea</t>
        </is>
      </c>
      <c r="R240" s="48">
        <f>INDEX('Start Here'!$B$10:$B$16,WEEKDAY(C240,2))</f>
        <v/>
      </c>
      <c r="S240" s="48">
        <f>MOD(R240+'Start Here'!$B$6/24,1)</f>
        <v/>
      </c>
      <c r="T240" s="15" t="n"/>
      <c r="U240" s="15" t="n"/>
      <c r="V240" s="15" t="n"/>
      <c r="W240" s="15" t="n"/>
      <c r="X240" s="20" t="n"/>
      <c r="Y240" s="15" t="n"/>
    </row>
    <row r="241">
      <c r="A241" s="15" t="n">
        <v>240</v>
      </c>
      <c r="B241" s="16">
        <f>INT((A241-1)/7)+1</f>
        <v/>
      </c>
      <c r="C241" s="47">
        <f>'Start Here'!$B$5+A241-1</f>
        <v/>
      </c>
      <c r="D241" s="16">
        <f>TEXT(C241,"ddd")</f>
        <v/>
      </c>
      <c r="E241" s="15" t="inlineStr">
        <is>
          <t>Math Tuesday</t>
        </is>
      </c>
      <c r="F241" s="21" t="inlineStr">
        <is>
          <t>🔢 Numbers &amp; Math</t>
        </is>
      </c>
      <c r="G241" s="15" t="n">
        <v>35</v>
      </c>
      <c r="H241" s="15" t="inlineStr">
        <is>
          <t>Equal Numbers</t>
        </is>
      </c>
      <c r="I241" s="15" t="inlineStr">
        <is>
          <t>Equal Numbers 🔢 | Learn Math for Kids | Tiny Sparks</t>
        </is>
      </c>
      <c r="J241" s="15" t="inlineStr">
        <is>
          <t>3–5</t>
        </is>
      </c>
      <c r="K241" s="15" t="inlineStr">
        <is>
          <t>Short 9:16</t>
        </is>
      </c>
      <c r="L241" s="15" t="inlineStr">
        <is>
          <t>45–60 s</t>
        </is>
      </c>
      <c r="M241" s="15" t="inlineStr">
        <is>
          <t>Bobo + Mila (counting fingers)</t>
        </is>
      </c>
      <c r="N241" s="15" t="inlineStr">
        <is>
          <t>Math: Equal Numbers</t>
        </is>
      </c>
      <c r="O241" s="15" t="inlineStr">
        <is>
          <t>Yes</t>
        </is>
      </c>
      <c r="P241" s="15" t="inlineStr">
        <is>
          <t>P2</t>
        </is>
      </c>
      <c r="Q241" s="15" t="inlineStr">
        <is>
          <t>Idea</t>
        </is>
      </c>
      <c r="R241" s="48">
        <f>INDEX('Start Here'!$B$10:$B$16,WEEKDAY(C241,2))</f>
        <v/>
      </c>
      <c r="S241" s="48">
        <f>MOD(R241+'Start Here'!$B$6/24,1)</f>
        <v/>
      </c>
      <c r="T241" s="15" t="n"/>
      <c r="U241" s="15" t="n"/>
      <c r="V241" s="15" t="n"/>
      <c r="W241" s="15" t="n"/>
      <c r="X241" s="20" t="n"/>
      <c r="Y241" s="15" t="n"/>
    </row>
    <row r="242">
      <c r="A242" s="15" t="n">
        <v>241</v>
      </c>
      <c r="B242" s="16">
        <f>INT((A242-1)/7)+1</f>
        <v/>
      </c>
      <c r="C242" s="47">
        <f>'Start Here'!$B$5+A242-1</f>
        <v/>
      </c>
      <c r="D242" s="16">
        <f>TEXT(C242,"ddd")</f>
        <v/>
      </c>
      <c r="E242" s="15" t="inlineStr">
        <is>
          <t>Word Wednesday</t>
        </is>
      </c>
      <c r="F242" s="22" t="inlineStr">
        <is>
          <t>🔤 English/French Words</t>
        </is>
      </c>
      <c r="G242" s="15" t="n">
        <v>35</v>
      </c>
      <c r="H242" s="15" t="inlineStr">
        <is>
          <t>Up and Down</t>
        </is>
      </c>
      <c r="I242" s="15" t="inlineStr">
        <is>
          <t>Up and Down 🔤 | Kids Vocabulary | Tiny Sparks</t>
        </is>
      </c>
      <c r="J242" s="15" t="inlineStr">
        <is>
          <t>3–5</t>
        </is>
      </c>
      <c r="K242" s="15" t="inlineStr">
        <is>
          <t>Short 9:16</t>
        </is>
      </c>
      <c r="L242" s="15" t="inlineStr">
        <is>
          <t>45–60 s</t>
        </is>
      </c>
      <c r="M242" s="15" t="inlineStr">
        <is>
          <t>Mila + French narrator</t>
        </is>
      </c>
      <c r="N242" s="15" t="inlineStr">
        <is>
          <t>Vocabulary EN→FR: Up and Down</t>
        </is>
      </c>
      <c r="O242" s="15" t="inlineStr">
        <is>
          <t>Yes</t>
        </is>
      </c>
      <c r="P242" s="15" t="inlineStr">
        <is>
          <t>P2</t>
        </is>
      </c>
      <c r="Q242" s="15" t="inlineStr">
        <is>
          <t>Idea</t>
        </is>
      </c>
      <c r="R242" s="48">
        <f>INDEX('Start Here'!$B$10:$B$16,WEEKDAY(C242,2))</f>
        <v/>
      </c>
      <c r="S242" s="48">
        <f>MOD(R242+'Start Here'!$B$6/24,1)</f>
        <v/>
      </c>
      <c r="T242" s="15" t="n"/>
      <c r="U242" s="15" t="n"/>
      <c r="V242" s="15" t="n"/>
      <c r="W242" s="15" t="n"/>
      <c r="X242" s="20" t="n"/>
      <c r="Y242" s="15" t="n"/>
    </row>
    <row r="243">
      <c r="A243" s="15" t="n">
        <v>242</v>
      </c>
      <c r="B243" s="16">
        <f>INT((A243-1)/7)+1</f>
        <v/>
      </c>
      <c r="C243" s="47">
        <f>'Start Here'!$B$5+A243-1</f>
        <v/>
      </c>
      <c r="D243" s="16">
        <f>TEXT(C243,"ddd")</f>
        <v/>
      </c>
      <c r="E243" s="15" t="inlineStr">
        <is>
          <t>Animal Thursday</t>
        </is>
      </c>
      <c r="F243" s="23" t="inlineStr">
        <is>
          <t>🦁 Animal Stories</t>
        </is>
      </c>
      <c r="G243" s="15" t="n">
        <v>35</v>
      </c>
      <c r="H243" s="15" t="inlineStr">
        <is>
          <t>The Squirrel's Missing Acorn</t>
        </is>
      </c>
      <c r="I243" s="15" t="inlineStr">
        <is>
          <t>The Squirrel's Missing Acorn 🦁 | Animal Stories for Kids | Tiny Sparks</t>
        </is>
      </c>
      <c r="J243" s="15" t="inlineStr">
        <is>
          <t>3–5</t>
        </is>
      </c>
      <c r="K243" s="15" t="inlineStr">
        <is>
          <t>Long 16:9 + Short teaser</t>
        </is>
      </c>
      <c r="L243" s="15" t="inlineStr">
        <is>
          <t>3–5 min (Short: 50 s)</t>
        </is>
      </c>
      <c r="M243" s="15" t="inlineStr">
        <is>
          <t>guest animal(s) + Bobo</t>
        </is>
      </c>
      <c r="N243" s="15" t="inlineStr">
        <is>
          <t>Story + 3 true animal facts; value: friendship</t>
        </is>
      </c>
      <c r="O243" s="15" t="inlineStr">
        <is>
          <t>Build first: squirrel</t>
        </is>
      </c>
      <c r="P243" s="15" t="inlineStr">
        <is>
          <t>P2</t>
        </is>
      </c>
      <c r="Q243" s="15" t="inlineStr">
        <is>
          <t>Idea</t>
        </is>
      </c>
      <c r="R243" s="48">
        <f>INDEX('Start Here'!$B$10:$B$16,WEEKDAY(C243,2))</f>
        <v/>
      </c>
      <c r="S243" s="48">
        <f>MOD(R243+'Start Here'!$B$6/24,1)</f>
        <v/>
      </c>
      <c r="T243" s="15" t="n"/>
      <c r="U243" s="15" t="n"/>
      <c r="V243" s="15" t="n"/>
      <c r="W243" s="15" t="n"/>
      <c r="X243" s="20" t="n"/>
      <c r="Y243" s="15" t="n"/>
    </row>
    <row r="244">
      <c r="A244" s="15" t="n">
        <v>243</v>
      </c>
      <c r="B244" s="16">
        <f>INT((A244-1)/7)+1</f>
        <v/>
      </c>
      <c r="C244" s="47">
        <f>'Start Here'!$B$5+A244-1</f>
        <v/>
      </c>
      <c r="D244" s="16">
        <f>TEXT(C244,"ddd")</f>
        <v/>
      </c>
      <c r="E244" s="15" t="inlineStr">
        <is>
          <t>Science Friday</t>
        </is>
      </c>
      <c r="F244" s="24" t="inlineStr">
        <is>
          <t>🚀 Science for Kids</t>
        </is>
      </c>
      <c r="G244" s="15" t="n">
        <v>35</v>
      </c>
      <c r="H244" s="15" t="inlineStr">
        <is>
          <t>The Life Cycle of a Chicken</t>
        </is>
      </c>
      <c r="I244" s="15" t="inlineStr">
        <is>
          <t>The Life Cycle of a Chicken 🚀 | Science for Kids | Tiny Sparks</t>
        </is>
      </c>
      <c r="J244" s="15" t="inlineStr">
        <is>
          <t>6–8</t>
        </is>
      </c>
      <c r="K244" s="15" t="inlineStr">
        <is>
          <t>Long 16:9</t>
        </is>
      </c>
      <c r="L244" s="15" t="inlineStr">
        <is>
          <t>4–8 min</t>
        </is>
      </c>
      <c r="M244" s="15" t="inlineStr">
        <is>
          <t>Prof. Hoot + Leo (wrong guess) + Mila</t>
        </is>
      </c>
      <c r="N244" s="15" t="inlineStr">
        <is>
          <t>Answer simply: The Life Cycle of a Chicken</t>
        </is>
      </c>
      <c r="O244" s="15" t="inlineStr">
        <is>
          <t>Build first: chicken</t>
        </is>
      </c>
      <c r="P244" s="15" t="inlineStr">
        <is>
          <t>P2</t>
        </is>
      </c>
      <c r="Q244" s="15" t="inlineStr">
        <is>
          <t>Idea</t>
        </is>
      </c>
      <c r="R244" s="48">
        <f>INDEX('Start Here'!$B$10:$B$16,WEEKDAY(C244,2))</f>
        <v/>
      </c>
      <c r="S244" s="48">
        <f>MOD(R244+'Start Here'!$B$6/24,1)</f>
        <v/>
      </c>
      <c r="T244" s="15" t="n"/>
      <c r="U244" s="15" t="n"/>
      <c r="V244" s="15" t="n"/>
      <c r="W244" s="15" t="n"/>
      <c r="X244" s="20" t="n"/>
      <c r="Y244" s="15" t="n"/>
    </row>
    <row r="245">
      <c r="A245" s="15" t="n">
        <v>244</v>
      </c>
      <c r="B245" s="16">
        <f>INT((A245-1)/7)+1</f>
        <v/>
      </c>
      <c r="C245" s="47">
        <f>'Start Here'!$B$5+A245-1</f>
        <v/>
      </c>
      <c r="D245" s="16">
        <f>TEXT(C245,"ddd")</f>
        <v/>
      </c>
      <c r="E245" s="15" t="inlineStr">
        <is>
          <t>Puzzle Saturday</t>
        </is>
      </c>
      <c r="F245" s="25" t="inlineStr">
        <is>
          <t>🧩 Puzzles &amp; Problem-Solving</t>
        </is>
      </c>
      <c r="G245" s="15" t="n">
        <v>35</v>
      </c>
      <c r="H245" s="15" t="inlineStr">
        <is>
          <t>Ocean Maze</t>
        </is>
      </c>
      <c r="I245" s="15" t="inlineStr">
        <is>
          <t>Ocean Maze 🧩 | Brain Games for Kids | Tiny Sparks</t>
        </is>
      </c>
      <c r="J245" s="15" t="inlineStr">
        <is>
          <t>6–8</t>
        </is>
      </c>
      <c r="K245" s="15" t="inlineStr">
        <is>
          <t>Short 9:16</t>
        </is>
      </c>
      <c r="L245" s="15" t="inlineStr">
        <is>
          <t>45–60 s</t>
        </is>
      </c>
      <c r="M245" s="15" t="inlineStr">
        <is>
          <t>Prof. Hoot + Leo + score strip</t>
        </is>
      </c>
      <c r="N245" s="15" t="inlineStr">
        <is>
          <t>Thinking skill: spatial thinking</t>
        </is>
      </c>
      <c r="O245" s="15" t="inlineStr">
        <is>
          <t>Yes</t>
        </is>
      </c>
      <c r="P245" s="15" t="inlineStr">
        <is>
          <t>P2</t>
        </is>
      </c>
      <c r="Q245" s="15" t="inlineStr">
        <is>
          <t>Idea</t>
        </is>
      </c>
      <c r="R245" s="48">
        <f>INDEX('Start Here'!$B$10:$B$16,WEEKDAY(C245,2))</f>
        <v/>
      </c>
      <c r="S245" s="48">
        <f>MOD(R245+'Start Here'!$B$6/24,1)</f>
        <v/>
      </c>
      <c r="T245" s="15" t="n"/>
      <c r="U245" s="15" t="n"/>
      <c r="V245" s="15" t="n"/>
      <c r="W245" s="15" t="n"/>
      <c r="X245" s="20" t="n"/>
      <c r="Y245" s="15" t="n"/>
    </row>
    <row r="246">
      <c r="A246" s="15" t="n">
        <v>245</v>
      </c>
      <c r="B246" s="16">
        <f>INT((A246-1)/7)+1</f>
        <v/>
      </c>
      <c r="C246" s="47">
        <f>'Start Here'!$B$5+A246-1</f>
        <v/>
      </c>
      <c r="D246" s="16">
        <f>TEXT(C246,"ddd")</f>
        <v/>
      </c>
      <c r="E246" s="15" t="inlineStr">
        <is>
          <t>Song Sunday</t>
        </is>
      </c>
      <c r="F246" s="26" t="inlineStr">
        <is>
          <t>🎵 Educational Songs</t>
        </is>
      </c>
      <c r="G246" s="15" t="n">
        <v>35</v>
      </c>
      <c r="H246" s="15" t="inlineStr">
        <is>
          <t>Friendship Song</t>
        </is>
      </c>
      <c r="I246" s="15" t="inlineStr">
        <is>
          <t>Friendship Song 🎵 | Kids Songs | Tiny Sparks</t>
        </is>
      </c>
      <c r="J246" s="15" t="inlineStr">
        <is>
          <t>3–5</t>
        </is>
      </c>
      <c r="K246" s="15" t="inlineStr">
        <is>
          <t>Long 16:9 + Short cut</t>
        </is>
      </c>
      <c r="L246" s="15" t="inlineStr">
        <is>
          <t>2–3 min (Short: 45 s chorus)</t>
        </is>
      </c>
      <c r="M246" s="15" t="inlineStr">
        <is>
          <t>Mila sings, all dance</t>
        </is>
      </c>
      <c r="N246" s="15" t="inlineStr">
        <is>
          <t>Sing &amp; learn: Friendship</t>
        </is>
      </c>
      <c r="O246" s="15" t="inlineStr">
        <is>
          <t>Yes</t>
        </is>
      </c>
      <c r="P246" s="15" t="inlineStr">
        <is>
          <t>P2</t>
        </is>
      </c>
      <c r="Q246" s="15" t="inlineStr">
        <is>
          <t>Idea</t>
        </is>
      </c>
      <c r="R246" s="48">
        <f>INDEX('Start Here'!$B$10:$B$16,WEEKDAY(C246,2))</f>
        <v/>
      </c>
      <c r="S246" s="48">
        <f>MOD(R246+'Start Here'!$B$6/24,1)</f>
        <v/>
      </c>
      <c r="T246" s="15" t="n"/>
      <c r="U246" s="15" t="n"/>
      <c r="V246" s="15" t="n"/>
      <c r="W246" s="15" t="n"/>
      <c r="X246" s="20" t="n"/>
      <c r="Y246" s="15" t="n"/>
    </row>
    <row r="247">
      <c r="A247" s="15" t="n">
        <v>246</v>
      </c>
      <c r="B247" s="16">
        <f>INT((A247-1)/7)+1</f>
        <v/>
      </c>
      <c r="C247" s="47">
        <f>'Start Here'!$B$5+A247-1</f>
        <v/>
      </c>
      <c r="D247" s="16">
        <f>TEXT(C247,"ddd")</f>
        <v/>
      </c>
      <c r="E247" s="15" t="inlineStr">
        <is>
          <t>Story Monday</t>
        </is>
      </c>
      <c r="F247" s="27" t="inlineStr">
        <is>
          <t>📚 Moral Stories</t>
        </is>
      </c>
      <c r="G247" s="15" t="n">
        <v>18</v>
      </c>
      <c r="H247" s="15" t="inlineStr">
        <is>
          <t>The Proud Peacock</t>
        </is>
      </c>
      <c r="I247" s="15" t="inlineStr">
        <is>
          <t>The Proud Peacock 📚 | Moral Stories for Kids | Tiny Sparks</t>
        </is>
      </c>
      <c r="J247" s="15" t="inlineStr">
        <is>
          <t>3–5</t>
        </is>
      </c>
      <c r="K247" s="15" t="inlineStr">
        <is>
          <t>Long 16:9 + Short teaser</t>
        </is>
      </c>
      <c r="L247" s="15" t="inlineStr">
        <is>
          <t>3–5 min (Short: 50 s)</t>
        </is>
      </c>
      <c r="M247" s="15" t="inlineStr">
        <is>
          <t>narrator + guest animals / Mila &amp; Leo</t>
        </is>
      </c>
      <c r="N247" s="15" t="inlineStr">
        <is>
          <t>Value: humility</t>
        </is>
      </c>
      <c r="O247" s="15" t="inlineStr">
        <is>
          <t>Build first: peacock</t>
        </is>
      </c>
      <c r="P247" s="15" t="inlineStr">
        <is>
          <t>P2</t>
        </is>
      </c>
      <c r="Q247" s="15" t="inlineStr">
        <is>
          <t>Idea</t>
        </is>
      </c>
      <c r="R247" s="48">
        <f>INDEX('Start Here'!$B$10:$B$16,WEEKDAY(C247,2))</f>
        <v/>
      </c>
      <c r="S247" s="48">
        <f>MOD(R247+'Start Here'!$B$6/24,1)</f>
        <v/>
      </c>
      <c r="T247" s="15" t="n"/>
      <c r="U247" s="15" t="n"/>
      <c r="V247" s="15" t="n"/>
      <c r="W247" s="15" t="n"/>
      <c r="X247" s="20" t="n"/>
      <c r="Y247" s="15" t="n"/>
    </row>
    <row r="248">
      <c r="A248" s="15" t="n">
        <v>247</v>
      </c>
      <c r="B248" s="16">
        <f>INT((A248-1)/7)+1</f>
        <v/>
      </c>
      <c r="C248" s="47">
        <f>'Start Here'!$B$5+A248-1</f>
        <v/>
      </c>
      <c r="D248" s="16">
        <f>TEXT(C248,"ddd")</f>
        <v/>
      </c>
      <c r="E248" s="15" t="inlineStr">
        <is>
          <t>Math Tuesday</t>
        </is>
      </c>
      <c r="F248" s="21" t="inlineStr">
        <is>
          <t>🔢 Numbers &amp; Math</t>
        </is>
      </c>
      <c r="G248" s="15" t="n">
        <v>36</v>
      </c>
      <c r="H248" s="15" t="inlineStr">
        <is>
          <t>Easy Addition with Apples</t>
        </is>
      </c>
      <c r="I248" s="15" t="inlineStr">
        <is>
          <t>Easy Addition with Apples 🔢 | Learn Math for Kids | Tiny Sparks</t>
        </is>
      </c>
      <c r="J248" s="15" t="inlineStr">
        <is>
          <t>6–8</t>
        </is>
      </c>
      <c r="K248" s="15" t="inlineStr">
        <is>
          <t>Short 9:16</t>
        </is>
      </c>
      <c r="L248" s="15" t="inlineStr">
        <is>
          <t>45–60 s</t>
        </is>
      </c>
      <c r="M248" s="15" t="inlineStr">
        <is>
          <t>Bobo + Mila (counting fingers)</t>
        </is>
      </c>
      <c r="N248" s="15" t="inlineStr">
        <is>
          <t>Math: Easy Addition with Apples</t>
        </is>
      </c>
      <c r="O248" s="15" t="inlineStr">
        <is>
          <t>Yes</t>
        </is>
      </c>
      <c r="P248" s="15" t="inlineStr">
        <is>
          <t>P2</t>
        </is>
      </c>
      <c r="Q248" s="15" t="inlineStr">
        <is>
          <t>Idea</t>
        </is>
      </c>
      <c r="R248" s="48">
        <f>INDEX('Start Here'!$B$10:$B$16,WEEKDAY(C248,2))</f>
        <v/>
      </c>
      <c r="S248" s="48">
        <f>MOD(R248+'Start Here'!$B$6/24,1)</f>
        <v/>
      </c>
      <c r="T248" s="15" t="n"/>
      <c r="U248" s="15" t="n"/>
      <c r="V248" s="15" t="n"/>
      <c r="W248" s="15" t="n"/>
      <c r="X248" s="20" t="n"/>
      <c r="Y248" s="15" t="n"/>
    </row>
    <row r="249">
      <c r="A249" s="15" t="n">
        <v>248</v>
      </c>
      <c r="B249" s="16">
        <f>INT((A249-1)/7)+1</f>
        <v/>
      </c>
      <c r="C249" s="47">
        <f>'Start Here'!$B$5+A249-1</f>
        <v/>
      </c>
      <c r="D249" s="16">
        <f>TEXT(C249,"ddd")</f>
        <v/>
      </c>
      <c r="E249" s="15" t="inlineStr">
        <is>
          <t>Word Wednesday</t>
        </is>
      </c>
      <c r="F249" s="22" t="inlineStr">
        <is>
          <t>🔤 English/French Words</t>
        </is>
      </c>
      <c r="G249" s="15" t="n">
        <v>36</v>
      </c>
      <c r="H249" s="15" t="inlineStr">
        <is>
          <t>Open and Closed</t>
        </is>
      </c>
      <c r="I249" s="15" t="inlineStr">
        <is>
          <t>Open and Closed 🔤 | Kids Vocabulary | Tiny Sparks</t>
        </is>
      </c>
      <c r="J249" s="15" t="inlineStr">
        <is>
          <t>3–5</t>
        </is>
      </c>
      <c r="K249" s="15" t="inlineStr">
        <is>
          <t>Short 9:16</t>
        </is>
      </c>
      <c r="L249" s="15" t="inlineStr">
        <is>
          <t>45–60 s</t>
        </is>
      </c>
      <c r="M249" s="15" t="inlineStr">
        <is>
          <t>Mila + French narrator</t>
        </is>
      </c>
      <c r="N249" s="15" t="inlineStr">
        <is>
          <t>Vocabulary EN→FR: Open and Closed</t>
        </is>
      </c>
      <c r="O249" s="15" t="inlineStr">
        <is>
          <t>Yes</t>
        </is>
      </c>
      <c r="P249" s="15" t="inlineStr">
        <is>
          <t>P2</t>
        </is>
      </c>
      <c r="Q249" s="15" t="inlineStr">
        <is>
          <t>Idea</t>
        </is>
      </c>
      <c r="R249" s="48">
        <f>INDEX('Start Here'!$B$10:$B$16,WEEKDAY(C249,2))</f>
        <v/>
      </c>
      <c r="S249" s="48">
        <f>MOD(R249+'Start Here'!$B$6/24,1)</f>
        <v/>
      </c>
      <c r="T249" s="15" t="n"/>
      <c r="U249" s="15" t="n"/>
      <c r="V249" s="15" t="n"/>
      <c r="W249" s="15" t="n"/>
      <c r="X249" s="20" t="n"/>
      <c r="Y249" s="15" t="n"/>
    </row>
    <row r="250">
      <c r="A250" s="15" t="n">
        <v>249</v>
      </c>
      <c r="B250" s="16">
        <f>INT((A250-1)/7)+1</f>
        <v/>
      </c>
      <c r="C250" s="47">
        <f>'Start Here'!$B$5+A250-1</f>
        <v/>
      </c>
      <c r="D250" s="16">
        <f>TEXT(C250,"ddd")</f>
        <v/>
      </c>
      <c r="E250" s="15" t="inlineStr">
        <is>
          <t>Animal Thursday</t>
        </is>
      </c>
      <c r="F250" s="23" t="inlineStr">
        <is>
          <t>🦁 Animal Stories</t>
        </is>
      </c>
      <c r="G250" s="15" t="n">
        <v>36</v>
      </c>
      <c r="H250" s="15" t="inlineStr">
        <is>
          <t>The Bear's First Camping Trip</t>
        </is>
      </c>
      <c r="I250" s="15" t="inlineStr">
        <is>
          <t>The Bear's First Camping Trip 🦁 | Animal Stories for Kids | Tiny Sparks</t>
        </is>
      </c>
      <c r="J250" s="15" t="inlineStr">
        <is>
          <t>3–5</t>
        </is>
      </c>
      <c r="K250" s="15" t="inlineStr">
        <is>
          <t>Long 16:9 + Short teaser</t>
        </is>
      </c>
      <c r="L250" s="15" t="inlineStr">
        <is>
          <t>3–5 min (Short: 50 s)</t>
        </is>
      </c>
      <c r="M250" s="15" t="inlineStr">
        <is>
          <t>guest animal(s) + Bobo</t>
        </is>
      </c>
      <c r="N250" s="15" t="inlineStr">
        <is>
          <t>Story + 3 true animal facts; value: friendship</t>
        </is>
      </c>
      <c r="O250" s="15" t="inlineStr">
        <is>
          <t>Yes</t>
        </is>
      </c>
      <c r="P250" s="15" t="inlineStr">
        <is>
          <t>P2</t>
        </is>
      </c>
      <c r="Q250" s="15" t="inlineStr">
        <is>
          <t>Idea</t>
        </is>
      </c>
      <c r="R250" s="48">
        <f>INDEX('Start Here'!$B$10:$B$16,WEEKDAY(C250,2))</f>
        <v/>
      </c>
      <c r="S250" s="48">
        <f>MOD(R250+'Start Here'!$B$6/24,1)</f>
        <v/>
      </c>
      <c r="T250" s="15" t="n"/>
      <c r="U250" s="15" t="n"/>
      <c r="V250" s="15" t="n"/>
      <c r="W250" s="15" t="n"/>
      <c r="X250" s="20" t="n"/>
      <c r="Y250" s="15" t="n"/>
    </row>
    <row r="251">
      <c r="A251" s="15" t="n">
        <v>250</v>
      </c>
      <c r="B251" s="16">
        <f>INT((A251-1)/7)+1</f>
        <v/>
      </c>
      <c r="C251" s="47">
        <f>'Start Here'!$B$5+A251-1</f>
        <v/>
      </c>
      <c r="D251" s="16">
        <f>TEXT(C251,"ddd")</f>
        <v/>
      </c>
      <c r="E251" s="15" t="inlineStr">
        <is>
          <t>Science Friday</t>
        </is>
      </c>
      <c r="F251" s="24" t="inlineStr">
        <is>
          <t>🚀 Science for Kids</t>
        </is>
      </c>
      <c r="G251" s="15" t="n">
        <v>36</v>
      </c>
      <c r="H251" s="15" t="inlineStr">
        <is>
          <t>How Do Birds Build Nests?</t>
        </is>
      </c>
      <c r="I251" s="15" t="inlineStr">
        <is>
          <t>How Do Birds Build Nests? 🚀 | Science for Kids | Tiny Sparks</t>
        </is>
      </c>
      <c r="J251" s="15" t="inlineStr">
        <is>
          <t>3–5</t>
        </is>
      </c>
      <c r="K251" s="15" t="inlineStr">
        <is>
          <t>Short 9:16</t>
        </is>
      </c>
      <c r="L251" s="15" t="inlineStr">
        <is>
          <t>45–60 s</t>
        </is>
      </c>
      <c r="M251" s="15" t="inlineStr">
        <is>
          <t>Prof. Hoot + Leo (wrong guess) + Mila</t>
        </is>
      </c>
      <c r="N251" s="15" t="inlineStr">
        <is>
          <t>Answer simply: How Do Birds Build Nests?</t>
        </is>
      </c>
      <c r="O251" s="15" t="inlineStr">
        <is>
          <t>Build first: birds</t>
        </is>
      </c>
      <c r="P251" s="15" t="inlineStr">
        <is>
          <t>P2</t>
        </is>
      </c>
      <c r="Q251" s="15" t="inlineStr">
        <is>
          <t>Idea</t>
        </is>
      </c>
      <c r="R251" s="48">
        <f>INDEX('Start Here'!$B$10:$B$16,WEEKDAY(C251,2))</f>
        <v/>
      </c>
      <c r="S251" s="48">
        <f>MOD(R251+'Start Here'!$B$6/24,1)</f>
        <v/>
      </c>
      <c r="T251" s="15" t="n"/>
      <c r="U251" s="15" t="n"/>
      <c r="V251" s="15" t="n"/>
      <c r="W251" s="15" t="n"/>
      <c r="X251" s="20" t="n"/>
      <c r="Y251" s="15" t="n"/>
    </row>
    <row r="252">
      <c r="A252" s="15" t="n">
        <v>251</v>
      </c>
      <c r="B252" s="16">
        <f>INT((A252-1)/7)+1</f>
        <v/>
      </c>
      <c r="C252" s="47">
        <f>'Start Here'!$B$5+A252-1</f>
        <v/>
      </c>
      <c r="D252" s="16">
        <f>TEXT(C252,"ddd")</f>
        <v/>
      </c>
      <c r="E252" s="15" t="inlineStr">
        <is>
          <t>Puzzle Saturday</t>
        </is>
      </c>
      <c r="F252" s="25" t="inlineStr">
        <is>
          <t>🧩 Puzzles &amp; Problem-Solving</t>
        </is>
      </c>
      <c r="G252" s="15" t="n">
        <v>36</v>
      </c>
      <c r="H252" s="15" t="inlineStr">
        <is>
          <t>Candy Maze</t>
        </is>
      </c>
      <c r="I252" s="15" t="inlineStr">
        <is>
          <t>Candy Maze 🧩 | Brain Games for Kids | Tiny Sparks</t>
        </is>
      </c>
      <c r="J252" s="15" t="inlineStr">
        <is>
          <t>6–8</t>
        </is>
      </c>
      <c r="K252" s="15" t="inlineStr">
        <is>
          <t>Short 9:16</t>
        </is>
      </c>
      <c r="L252" s="15" t="inlineStr">
        <is>
          <t>45–60 s</t>
        </is>
      </c>
      <c r="M252" s="15" t="inlineStr">
        <is>
          <t>Prof. Hoot + Leo + score strip</t>
        </is>
      </c>
      <c r="N252" s="15" t="inlineStr">
        <is>
          <t>Thinking skill: spatial thinking</t>
        </is>
      </c>
      <c r="O252" s="15" t="inlineStr">
        <is>
          <t>Yes</t>
        </is>
      </c>
      <c r="P252" s="15" t="inlineStr">
        <is>
          <t>P2</t>
        </is>
      </c>
      <c r="Q252" s="15" t="inlineStr">
        <is>
          <t>Idea</t>
        </is>
      </c>
      <c r="R252" s="48">
        <f>INDEX('Start Here'!$B$10:$B$16,WEEKDAY(C252,2))</f>
        <v/>
      </c>
      <c r="S252" s="48">
        <f>MOD(R252+'Start Here'!$B$6/24,1)</f>
        <v/>
      </c>
      <c r="T252" s="15" t="n"/>
      <c r="U252" s="15" t="n"/>
      <c r="V252" s="15" t="n"/>
      <c r="W252" s="15" t="n"/>
      <c r="X252" s="20" t="n"/>
      <c r="Y252" s="15" t="n"/>
    </row>
    <row r="253">
      <c r="A253" s="15" t="n">
        <v>252</v>
      </c>
      <c r="B253" s="16">
        <f>INT((A253-1)/7)+1</f>
        <v/>
      </c>
      <c r="C253" s="47">
        <f>'Start Here'!$B$5+A253-1</f>
        <v/>
      </c>
      <c r="D253" s="16">
        <f>TEXT(C253,"ddd")</f>
        <v/>
      </c>
      <c r="E253" s="15" t="inlineStr">
        <is>
          <t>Song Sunday</t>
        </is>
      </c>
      <c r="F253" s="26" t="inlineStr">
        <is>
          <t>🎵 Educational Songs</t>
        </is>
      </c>
      <c r="G253" s="15" t="n">
        <v>36</v>
      </c>
      <c r="H253" s="15" t="inlineStr">
        <is>
          <t>Sharing Song</t>
        </is>
      </c>
      <c r="I253" s="15" t="inlineStr">
        <is>
          <t>Sharing Song 🎵 | Kids Songs | Tiny Sparks</t>
        </is>
      </c>
      <c r="J253" s="15" t="inlineStr">
        <is>
          <t>3–5</t>
        </is>
      </c>
      <c r="K253" s="15" t="inlineStr">
        <is>
          <t>Long 16:9 + Short cut</t>
        </is>
      </c>
      <c r="L253" s="15" t="inlineStr">
        <is>
          <t>2–3 min (Short: 45 s chorus)</t>
        </is>
      </c>
      <c r="M253" s="15" t="inlineStr">
        <is>
          <t>Mila sings, all dance</t>
        </is>
      </c>
      <c r="N253" s="15" t="inlineStr">
        <is>
          <t>Sing &amp; learn: Sharing</t>
        </is>
      </c>
      <c r="O253" s="15" t="inlineStr">
        <is>
          <t>Yes</t>
        </is>
      </c>
      <c r="P253" s="15" t="inlineStr">
        <is>
          <t>P2</t>
        </is>
      </c>
      <c r="Q253" s="15" t="inlineStr">
        <is>
          <t>Idea</t>
        </is>
      </c>
      <c r="R253" s="48">
        <f>INDEX('Start Here'!$B$10:$B$16,WEEKDAY(C253,2))</f>
        <v/>
      </c>
      <c r="S253" s="48">
        <f>MOD(R253+'Start Here'!$B$6/24,1)</f>
        <v/>
      </c>
      <c r="T253" s="15" t="n"/>
      <c r="U253" s="15" t="n"/>
      <c r="V253" s="15" t="n"/>
      <c r="W253" s="15" t="n"/>
      <c r="X253" s="20" t="n"/>
      <c r="Y253" s="15" t="n"/>
    </row>
    <row r="254">
      <c r="A254" s="15" t="n">
        <v>253</v>
      </c>
      <c r="B254" s="16">
        <f>INT((A254-1)/7)+1</f>
        <v/>
      </c>
      <c r="C254" s="47">
        <f>'Start Here'!$B$5+A254-1</f>
        <v/>
      </c>
      <c r="D254" s="16">
        <f>TEXT(C254,"ddd")</f>
        <v/>
      </c>
      <c r="E254" s="15" t="inlineStr">
        <is>
          <t>Story Monday</t>
        </is>
      </c>
      <c r="F254" s="18" t="inlineStr">
        <is>
          <t>🧠 Educational Stories</t>
        </is>
      </c>
      <c r="G254" s="15" t="n">
        <v>19</v>
      </c>
      <c r="H254" s="15" t="inlineStr">
        <is>
          <t>The Mystery of the Missing Lunchbox</t>
        </is>
      </c>
      <c r="I254" s="15" t="inlineStr">
        <is>
          <t>The Mystery of the Missing Lunchbox 🧠 | Kids Stories | Tiny Sparks</t>
        </is>
      </c>
      <c r="J254" s="15" t="inlineStr">
        <is>
          <t>3–5</t>
        </is>
      </c>
      <c r="K254" s="15" t="inlineStr">
        <is>
          <t>Long 16:9 + Short teaser</t>
        </is>
      </c>
      <c r="L254" s="15" t="inlineStr">
        <is>
          <t>3–5 min (Short: 50 s)</t>
        </is>
      </c>
      <c r="M254" s="15" t="inlineStr">
        <is>
          <t>Mila, Leo, Bobo + narrator</t>
        </is>
      </c>
      <c r="N254" s="15" t="inlineStr">
        <is>
          <t>Curiosity + problem solving</t>
        </is>
      </c>
      <c r="O254" s="15" t="inlineStr">
        <is>
          <t>Yes</t>
        </is>
      </c>
      <c r="P254" s="15" t="inlineStr">
        <is>
          <t>P2</t>
        </is>
      </c>
      <c r="Q254" s="15" t="inlineStr">
        <is>
          <t>Idea</t>
        </is>
      </c>
      <c r="R254" s="48">
        <f>INDEX('Start Here'!$B$10:$B$16,WEEKDAY(C254,2))</f>
        <v/>
      </c>
      <c r="S254" s="48">
        <f>MOD(R254+'Start Here'!$B$6/24,1)</f>
        <v/>
      </c>
      <c r="T254" s="15" t="n"/>
      <c r="U254" s="15" t="n"/>
      <c r="V254" s="15" t="n"/>
      <c r="W254" s="15" t="n"/>
      <c r="X254" s="20" t="n"/>
      <c r="Y254" s="15" t="n"/>
    </row>
    <row r="255">
      <c r="A255" s="15" t="n">
        <v>254</v>
      </c>
      <c r="B255" s="16">
        <f>INT((A255-1)/7)+1</f>
        <v/>
      </c>
      <c r="C255" s="47">
        <f>'Start Here'!$B$5+A255-1</f>
        <v/>
      </c>
      <c r="D255" s="16">
        <f>TEXT(C255,"ddd")</f>
        <v/>
      </c>
      <c r="E255" s="15" t="inlineStr">
        <is>
          <t>Math Tuesday</t>
        </is>
      </c>
      <c r="F255" s="21" t="inlineStr">
        <is>
          <t>🔢 Numbers &amp; Math</t>
        </is>
      </c>
      <c r="G255" s="15" t="n">
        <v>37</v>
      </c>
      <c r="H255" s="15" t="inlineStr">
        <is>
          <t>Addition with Animals</t>
        </is>
      </c>
      <c r="I255" s="15" t="inlineStr">
        <is>
          <t>Addition with Animals 🔢 | Learn Math for Kids | Tiny Sparks</t>
        </is>
      </c>
      <c r="J255" s="15" t="inlineStr">
        <is>
          <t>6–8</t>
        </is>
      </c>
      <c r="K255" s="15" t="inlineStr">
        <is>
          <t>Short 9:16</t>
        </is>
      </c>
      <c r="L255" s="15" t="inlineStr">
        <is>
          <t>45–60 s</t>
        </is>
      </c>
      <c r="M255" s="15" t="inlineStr">
        <is>
          <t>Bobo + Mila (counting fingers)</t>
        </is>
      </c>
      <c r="N255" s="15" t="inlineStr">
        <is>
          <t>Math: Addition with Animals</t>
        </is>
      </c>
      <c r="O255" s="15" t="inlineStr">
        <is>
          <t>Yes</t>
        </is>
      </c>
      <c r="P255" s="15" t="inlineStr">
        <is>
          <t>P2</t>
        </is>
      </c>
      <c r="Q255" s="15" t="inlineStr">
        <is>
          <t>Idea</t>
        </is>
      </c>
      <c r="R255" s="48">
        <f>INDEX('Start Here'!$B$10:$B$16,WEEKDAY(C255,2))</f>
        <v/>
      </c>
      <c r="S255" s="48">
        <f>MOD(R255+'Start Here'!$B$6/24,1)</f>
        <v/>
      </c>
      <c r="T255" s="15" t="n"/>
      <c r="U255" s="15" t="n"/>
      <c r="V255" s="15" t="n"/>
      <c r="W255" s="15" t="n"/>
      <c r="X255" s="20" t="n"/>
      <c r="Y255" s="15" t="n"/>
    </row>
    <row r="256">
      <c r="A256" s="15" t="n">
        <v>255</v>
      </c>
      <c r="B256" s="16">
        <f>INT((A256-1)/7)+1</f>
        <v/>
      </c>
      <c r="C256" s="47">
        <f>'Start Here'!$B$5+A256-1</f>
        <v/>
      </c>
      <c r="D256" s="16">
        <f>TEXT(C256,"ddd")</f>
        <v/>
      </c>
      <c r="E256" s="15" t="inlineStr">
        <is>
          <t>Word Wednesday</t>
        </is>
      </c>
      <c r="F256" s="22" t="inlineStr">
        <is>
          <t>🔤 English/French Words</t>
        </is>
      </c>
      <c r="G256" s="15" t="n">
        <v>37</v>
      </c>
      <c r="H256" s="15" t="inlineStr">
        <is>
          <t>Clean and Dirty</t>
        </is>
      </c>
      <c r="I256" s="15" t="inlineStr">
        <is>
          <t>Clean and Dirty 🔤 | Kids Vocabulary | Tiny Sparks</t>
        </is>
      </c>
      <c r="J256" s="15" t="inlineStr">
        <is>
          <t>3–5</t>
        </is>
      </c>
      <c r="K256" s="15" t="inlineStr">
        <is>
          <t>Short 9:16</t>
        </is>
      </c>
      <c r="L256" s="15" t="inlineStr">
        <is>
          <t>45–60 s</t>
        </is>
      </c>
      <c r="M256" s="15" t="inlineStr">
        <is>
          <t>Mila + French narrator</t>
        </is>
      </c>
      <c r="N256" s="15" t="inlineStr">
        <is>
          <t>Vocabulary EN→FR: Clean and Dirty</t>
        </is>
      </c>
      <c r="O256" s="15" t="inlineStr">
        <is>
          <t>Yes</t>
        </is>
      </c>
      <c r="P256" s="15" t="inlineStr">
        <is>
          <t>P2</t>
        </is>
      </c>
      <c r="Q256" s="15" t="inlineStr">
        <is>
          <t>Idea</t>
        </is>
      </c>
      <c r="R256" s="48">
        <f>INDEX('Start Here'!$B$10:$B$16,WEEKDAY(C256,2))</f>
        <v/>
      </c>
      <c r="S256" s="48">
        <f>MOD(R256+'Start Here'!$B$6/24,1)</f>
        <v/>
      </c>
      <c r="T256" s="15" t="n"/>
      <c r="U256" s="15" t="n"/>
      <c r="V256" s="15" t="n"/>
      <c r="W256" s="15" t="n"/>
      <c r="X256" s="20" t="n"/>
      <c r="Y256" s="15" t="n"/>
    </row>
    <row r="257">
      <c r="A257" s="15" t="n">
        <v>256</v>
      </c>
      <c r="B257" s="16">
        <f>INT((A257-1)/7)+1</f>
        <v/>
      </c>
      <c r="C257" s="47">
        <f>'Start Here'!$B$5+A257-1</f>
        <v/>
      </c>
      <c r="D257" s="16">
        <f>TEXT(C257,"ddd")</f>
        <v/>
      </c>
      <c r="E257" s="15" t="inlineStr">
        <is>
          <t>Animal Thursday</t>
        </is>
      </c>
      <c r="F257" s="23" t="inlineStr">
        <is>
          <t>🦁 Animal Stories</t>
        </is>
      </c>
      <c r="G257" s="15" t="n">
        <v>37</v>
      </c>
      <c r="H257" s="15" t="inlineStr">
        <is>
          <t>The Owl and the Moon</t>
        </is>
      </c>
      <c r="I257" s="15" t="inlineStr">
        <is>
          <t>The Owl and the Moon 🦁 | Animal Stories for Kids | Tiny Sparks</t>
        </is>
      </c>
      <c r="J257" s="15" t="inlineStr">
        <is>
          <t>3–5</t>
        </is>
      </c>
      <c r="K257" s="15" t="inlineStr">
        <is>
          <t>Long 16:9 + Short teaser</t>
        </is>
      </c>
      <c r="L257" s="15" t="inlineStr">
        <is>
          <t>3–5 min (Short: 50 s)</t>
        </is>
      </c>
      <c r="M257" s="15" t="inlineStr">
        <is>
          <t>guest animal(s) + Bobo</t>
        </is>
      </c>
      <c r="N257" s="15" t="inlineStr">
        <is>
          <t>Story + 3 true animal facts; value: friendship</t>
        </is>
      </c>
      <c r="O257" s="15" t="inlineStr">
        <is>
          <t>Yes</t>
        </is>
      </c>
      <c r="P257" s="15" t="inlineStr">
        <is>
          <t>P2</t>
        </is>
      </c>
      <c r="Q257" s="15" t="inlineStr">
        <is>
          <t>Idea</t>
        </is>
      </c>
      <c r="R257" s="48">
        <f>INDEX('Start Here'!$B$10:$B$16,WEEKDAY(C257,2))</f>
        <v/>
      </c>
      <c r="S257" s="48">
        <f>MOD(R257+'Start Here'!$B$6/24,1)</f>
        <v/>
      </c>
      <c r="T257" s="15" t="n"/>
      <c r="U257" s="15" t="n"/>
      <c r="V257" s="15" t="n"/>
      <c r="W257" s="15" t="n"/>
      <c r="X257" s="20" t="n"/>
      <c r="Y257" s="15" t="n"/>
    </row>
    <row r="258">
      <c r="A258" s="15" t="n">
        <v>257</v>
      </c>
      <c r="B258" s="16">
        <f>INT((A258-1)/7)+1</f>
        <v/>
      </c>
      <c r="C258" s="47">
        <f>'Start Here'!$B$5+A258-1</f>
        <v/>
      </c>
      <c r="D258" s="16">
        <f>TEXT(C258,"ddd")</f>
        <v/>
      </c>
      <c r="E258" s="15" t="inlineStr">
        <is>
          <t>Science Friday</t>
        </is>
      </c>
      <c r="F258" s="24" t="inlineStr">
        <is>
          <t>🚀 Science for Kids</t>
        </is>
      </c>
      <c r="G258" s="15" t="n">
        <v>37</v>
      </c>
      <c r="H258" s="15" t="inlineStr">
        <is>
          <t>Why Do Cats Have Whiskers?</t>
        </is>
      </c>
      <c r="I258" s="15" t="inlineStr">
        <is>
          <t>Why Do Cats Have Whiskers? 🚀 | Science for Kids | Tiny Sparks</t>
        </is>
      </c>
      <c r="J258" s="15" t="inlineStr">
        <is>
          <t>3–5</t>
        </is>
      </c>
      <c r="K258" s="15" t="inlineStr">
        <is>
          <t>Short 9:16</t>
        </is>
      </c>
      <c r="L258" s="15" t="inlineStr">
        <is>
          <t>45–60 s</t>
        </is>
      </c>
      <c r="M258" s="15" t="inlineStr">
        <is>
          <t>Prof. Hoot + Leo (wrong guess) + Mila</t>
        </is>
      </c>
      <c r="N258" s="15" t="inlineStr">
        <is>
          <t>Answer simply: Why Do Cats Have Whiskers?</t>
        </is>
      </c>
      <c r="O258" s="15" t="inlineStr">
        <is>
          <t>Yes</t>
        </is>
      </c>
      <c r="P258" s="15" t="inlineStr">
        <is>
          <t>P2</t>
        </is>
      </c>
      <c r="Q258" s="15" t="inlineStr">
        <is>
          <t>Idea</t>
        </is>
      </c>
      <c r="R258" s="48">
        <f>INDEX('Start Here'!$B$10:$B$16,WEEKDAY(C258,2))</f>
        <v/>
      </c>
      <c r="S258" s="48">
        <f>MOD(R258+'Start Here'!$B$6/24,1)</f>
        <v/>
      </c>
      <c r="T258" s="15" t="n"/>
      <c r="U258" s="15" t="n"/>
      <c r="V258" s="15" t="n"/>
      <c r="W258" s="15" t="n"/>
      <c r="X258" s="20" t="n"/>
      <c r="Y258" s="15" t="n"/>
    </row>
    <row r="259">
      <c r="A259" s="15" t="n">
        <v>258</v>
      </c>
      <c r="B259" s="16">
        <f>INT((A259-1)/7)+1</f>
        <v/>
      </c>
      <c r="C259" s="47">
        <f>'Start Here'!$B$5+A259-1</f>
        <v/>
      </c>
      <c r="D259" s="16">
        <f>TEXT(C259,"ddd")</f>
        <v/>
      </c>
      <c r="E259" s="15" t="inlineStr">
        <is>
          <t>Puzzle Saturday</t>
        </is>
      </c>
      <c r="F259" s="25" t="inlineStr">
        <is>
          <t>🧩 Puzzles &amp; Problem-Solving</t>
        </is>
      </c>
      <c r="G259" s="15" t="n">
        <v>37</v>
      </c>
      <c r="H259" s="15" t="inlineStr">
        <is>
          <t>School Maze</t>
        </is>
      </c>
      <c r="I259" s="15" t="inlineStr">
        <is>
          <t>School Maze 🧩 | Brain Games for Kids | Tiny Sparks</t>
        </is>
      </c>
      <c r="J259" s="15" t="inlineStr">
        <is>
          <t>6–8</t>
        </is>
      </c>
      <c r="K259" s="15" t="inlineStr">
        <is>
          <t>Short 9:16</t>
        </is>
      </c>
      <c r="L259" s="15" t="inlineStr">
        <is>
          <t>45–60 s</t>
        </is>
      </c>
      <c r="M259" s="15" t="inlineStr">
        <is>
          <t>Prof. Hoot + Leo + score strip</t>
        </is>
      </c>
      <c r="N259" s="15" t="inlineStr">
        <is>
          <t>Thinking skill: spatial thinking</t>
        </is>
      </c>
      <c r="O259" s="15" t="inlineStr">
        <is>
          <t>Yes</t>
        </is>
      </c>
      <c r="P259" s="15" t="inlineStr">
        <is>
          <t>P2</t>
        </is>
      </c>
      <c r="Q259" s="15" t="inlineStr">
        <is>
          <t>Idea</t>
        </is>
      </c>
      <c r="R259" s="48">
        <f>INDEX('Start Here'!$B$10:$B$16,WEEKDAY(C259,2))</f>
        <v/>
      </c>
      <c r="S259" s="48">
        <f>MOD(R259+'Start Here'!$B$6/24,1)</f>
        <v/>
      </c>
      <c r="T259" s="15" t="n"/>
      <c r="U259" s="15" t="n"/>
      <c r="V259" s="15" t="n"/>
      <c r="W259" s="15" t="n"/>
      <c r="X259" s="20" t="n"/>
      <c r="Y259" s="15" t="n"/>
    </row>
    <row r="260">
      <c r="A260" s="15" t="n">
        <v>259</v>
      </c>
      <c r="B260" s="16">
        <f>INT((A260-1)/7)+1</f>
        <v/>
      </c>
      <c r="C260" s="47">
        <f>'Start Here'!$B$5+A260-1</f>
        <v/>
      </c>
      <c r="D260" s="16">
        <f>TEXT(C260,"ddd")</f>
        <v/>
      </c>
      <c r="E260" s="15" t="inlineStr">
        <is>
          <t>Song Sunday</t>
        </is>
      </c>
      <c r="F260" s="26" t="inlineStr">
        <is>
          <t>🎵 Educational Songs</t>
        </is>
      </c>
      <c r="G260" s="15" t="n">
        <v>37</v>
      </c>
      <c r="H260" s="15" t="inlineStr">
        <is>
          <t>Kindness Song</t>
        </is>
      </c>
      <c r="I260" s="15" t="inlineStr">
        <is>
          <t>Kindness Song 🎵 | Kids Songs | Tiny Sparks</t>
        </is>
      </c>
      <c r="J260" s="15" t="inlineStr">
        <is>
          <t>3–5</t>
        </is>
      </c>
      <c r="K260" s="15" t="inlineStr">
        <is>
          <t>Long 16:9 + Short cut</t>
        </is>
      </c>
      <c r="L260" s="15" t="inlineStr">
        <is>
          <t>2–3 min (Short: 45 s chorus)</t>
        </is>
      </c>
      <c r="M260" s="15" t="inlineStr">
        <is>
          <t>Mila sings, all dance</t>
        </is>
      </c>
      <c r="N260" s="15" t="inlineStr">
        <is>
          <t>Sing &amp; learn: Kindness</t>
        </is>
      </c>
      <c r="O260" s="15" t="inlineStr">
        <is>
          <t>Yes</t>
        </is>
      </c>
      <c r="P260" s="15" t="inlineStr">
        <is>
          <t>P2</t>
        </is>
      </c>
      <c r="Q260" s="15" t="inlineStr">
        <is>
          <t>Idea</t>
        </is>
      </c>
      <c r="R260" s="48">
        <f>INDEX('Start Here'!$B$10:$B$16,WEEKDAY(C260,2))</f>
        <v/>
      </c>
      <c r="S260" s="48">
        <f>MOD(R260+'Start Here'!$B$6/24,1)</f>
        <v/>
      </c>
      <c r="T260" s="15" t="n"/>
      <c r="U260" s="15" t="n"/>
      <c r="V260" s="15" t="n"/>
      <c r="W260" s="15" t="n"/>
      <c r="X260" s="20" t="n"/>
      <c r="Y260" s="15" t="n"/>
    </row>
    <row r="261">
      <c r="A261" s="15" t="n">
        <v>260</v>
      </c>
      <c r="B261" s="16">
        <f>INT((A261-1)/7)+1</f>
        <v/>
      </c>
      <c r="C261" s="47">
        <f>'Start Here'!$B$5+A261-1</f>
        <v/>
      </c>
      <c r="D261" s="16">
        <f>TEXT(C261,"ddd")</f>
        <v/>
      </c>
      <c r="E261" s="15" t="inlineStr">
        <is>
          <t>Story Monday</t>
        </is>
      </c>
      <c r="F261" s="27" t="inlineStr">
        <is>
          <t>📚 Moral Stories</t>
        </is>
      </c>
      <c r="G261" s="15" t="n">
        <v>19</v>
      </c>
      <c r="H261" s="15" t="inlineStr">
        <is>
          <t>The Jealous Crow</t>
        </is>
      </c>
      <c r="I261" s="15" t="inlineStr">
        <is>
          <t>The Jealous Crow 📚 | Moral Stories for Kids | Tiny Sparks</t>
        </is>
      </c>
      <c r="J261" s="15" t="inlineStr">
        <is>
          <t>3–5</t>
        </is>
      </c>
      <c r="K261" s="15" t="inlineStr">
        <is>
          <t>Long 16:9 + Short teaser</t>
        </is>
      </c>
      <c r="L261" s="15" t="inlineStr">
        <is>
          <t>3–5 min (Short: 50 s)</t>
        </is>
      </c>
      <c r="M261" s="15" t="inlineStr">
        <is>
          <t>narrator + guest animals / Mila &amp; Leo</t>
        </is>
      </c>
      <c r="N261" s="15" t="inlineStr">
        <is>
          <t>Value: jealousy</t>
        </is>
      </c>
      <c r="O261" s="15" t="inlineStr">
        <is>
          <t>Build first: crow</t>
        </is>
      </c>
      <c r="P261" s="15" t="inlineStr">
        <is>
          <t>P2</t>
        </is>
      </c>
      <c r="Q261" s="15" t="inlineStr">
        <is>
          <t>Idea</t>
        </is>
      </c>
      <c r="R261" s="48">
        <f>INDEX('Start Here'!$B$10:$B$16,WEEKDAY(C261,2))</f>
        <v/>
      </c>
      <c r="S261" s="48">
        <f>MOD(R261+'Start Here'!$B$6/24,1)</f>
        <v/>
      </c>
      <c r="T261" s="15" t="n"/>
      <c r="U261" s="15" t="n"/>
      <c r="V261" s="15" t="n"/>
      <c r="W261" s="15" t="n"/>
      <c r="X261" s="20" t="n"/>
      <c r="Y261" s="15" t="n"/>
    </row>
    <row r="262">
      <c r="A262" s="15" t="n">
        <v>261</v>
      </c>
      <c r="B262" s="16">
        <f>INT((A262-1)/7)+1</f>
        <v/>
      </c>
      <c r="C262" s="47">
        <f>'Start Here'!$B$5+A262-1</f>
        <v/>
      </c>
      <c r="D262" s="16">
        <f>TEXT(C262,"ddd")</f>
        <v/>
      </c>
      <c r="E262" s="15" t="inlineStr">
        <is>
          <t>Math Tuesday</t>
        </is>
      </c>
      <c r="F262" s="21" t="inlineStr">
        <is>
          <t>🔢 Numbers &amp; Math</t>
        </is>
      </c>
      <c r="G262" s="15" t="n">
        <v>38</v>
      </c>
      <c r="H262" s="15" t="inlineStr">
        <is>
          <t>Addition with Balloons</t>
        </is>
      </c>
      <c r="I262" s="15" t="inlineStr">
        <is>
          <t>Addition with Balloons 🔢 | Learn Math for Kids | Tiny Sparks</t>
        </is>
      </c>
      <c r="J262" s="15" t="inlineStr">
        <is>
          <t>6–8</t>
        </is>
      </c>
      <c r="K262" s="15" t="inlineStr">
        <is>
          <t>Short 9:16</t>
        </is>
      </c>
      <c r="L262" s="15" t="inlineStr">
        <is>
          <t>45–60 s</t>
        </is>
      </c>
      <c r="M262" s="15" t="inlineStr">
        <is>
          <t>Bobo + Mila (counting fingers)</t>
        </is>
      </c>
      <c r="N262" s="15" t="inlineStr">
        <is>
          <t>Math: Addition with Balloons</t>
        </is>
      </c>
      <c r="O262" s="15" t="inlineStr">
        <is>
          <t>Yes</t>
        </is>
      </c>
      <c r="P262" s="15" t="inlineStr">
        <is>
          <t>P2</t>
        </is>
      </c>
      <c r="Q262" s="15" t="inlineStr">
        <is>
          <t>Idea</t>
        </is>
      </c>
      <c r="R262" s="48">
        <f>INDEX('Start Here'!$B$10:$B$16,WEEKDAY(C262,2))</f>
        <v/>
      </c>
      <c r="S262" s="48">
        <f>MOD(R262+'Start Here'!$B$6/24,1)</f>
        <v/>
      </c>
      <c r="T262" s="15" t="n"/>
      <c r="U262" s="15" t="n"/>
      <c r="V262" s="15" t="n"/>
      <c r="W262" s="15" t="n"/>
      <c r="X262" s="20" t="n"/>
      <c r="Y262" s="15" t="n"/>
    </row>
    <row r="263">
      <c r="A263" s="15" t="n">
        <v>262</v>
      </c>
      <c r="B263" s="16">
        <f>INT((A263-1)/7)+1</f>
        <v/>
      </c>
      <c r="C263" s="47">
        <f>'Start Here'!$B$5+A263-1</f>
        <v/>
      </c>
      <c r="D263" s="16">
        <f>TEXT(C263,"ddd")</f>
        <v/>
      </c>
      <c r="E263" s="15" t="inlineStr">
        <is>
          <t>Word Wednesday</t>
        </is>
      </c>
      <c r="F263" s="22" t="inlineStr">
        <is>
          <t>🔤 English/French Words</t>
        </is>
      </c>
      <c r="G263" s="15" t="n">
        <v>38</v>
      </c>
      <c r="H263" s="15" t="inlineStr">
        <is>
          <t>New and Old</t>
        </is>
      </c>
      <c r="I263" s="15" t="inlineStr">
        <is>
          <t>New and Old 🔤 | Kids Vocabulary | Tiny Sparks</t>
        </is>
      </c>
      <c r="J263" s="15" t="inlineStr">
        <is>
          <t>3–5</t>
        </is>
      </c>
      <c r="K263" s="15" t="inlineStr">
        <is>
          <t>Short 9:16</t>
        </is>
      </c>
      <c r="L263" s="15" t="inlineStr">
        <is>
          <t>45–60 s</t>
        </is>
      </c>
      <c r="M263" s="15" t="inlineStr">
        <is>
          <t>Mila + French narrator</t>
        </is>
      </c>
      <c r="N263" s="15" t="inlineStr">
        <is>
          <t>Vocabulary EN→FR: New and Old</t>
        </is>
      </c>
      <c r="O263" s="15" t="inlineStr">
        <is>
          <t>Yes</t>
        </is>
      </c>
      <c r="P263" s="15" t="inlineStr">
        <is>
          <t>P2</t>
        </is>
      </c>
      <c r="Q263" s="15" t="inlineStr">
        <is>
          <t>Idea</t>
        </is>
      </c>
      <c r="R263" s="48">
        <f>INDEX('Start Here'!$B$10:$B$16,WEEKDAY(C263,2))</f>
        <v/>
      </c>
      <c r="S263" s="48">
        <f>MOD(R263+'Start Here'!$B$6/24,1)</f>
        <v/>
      </c>
      <c r="T263" s="15" t="n"/>
      <c r="U263" s="15" t="n"/>
      <c r="V263" s="15" t="n"/>
      <c r="W263" s="15" t="n"/>
      <c r="X263" s="20" t="n"/>
      <c r="Y263" s="15" t="n"/>
    </row>
    <row r="264">
      <c r="A264" s="15" t="n">
        <v>263</v>
      </c>
      <c r="B264" s="16">
        <f>INT((A264-1)/7)+1</f>
        <v/>
      </c>
      <c r="C264" s="47">
        <f>'Start Here'!$B$5+A264-1</f>
        <v/>
      </c>
      <c r="D264" s="16">
        <f>TEXT(C264,"ddd")</f>
        <v/>
      </c>
      <c r="E264" s="15" t="inlineStr">
        <is>
          <t>Animal Thursday</t>
        </is>
      </c>
      <c r="F264" s="23" t="inlineStr">
        <is>
          <t>🦁 Animal Stories</t>
        </is>
      </c>
      <c r="G264" s="15" t="n">
        <v>38</v>
      </c>
      <c r="H264" s="15" t="inlineStr">
        <is>
          <t>The Firefly's First Night</t>
        </is>
      </c>
      <c r="I264" s="15" t="inlineStr">
        <is>
          <t>The Firefly's First Night 🦁 | Animal Stories for Kids | Tiny Sparks</t>
        </is>
      </c>
      <c r="J264" s="15" t="inlineStr">
        <is>
          <t>3–5</t>
        </is>
      </c>
      <c r="K264" s="15" t="inlineStr">
        <is>
          <t>Long 16:9 + Short teaser</t>
        </is>
      </c>
      <c r="L264" s="15" t="inlineStr">
        <is>
          <t>3–5 min (Short: 50 s)</t>
        </is>
      </c>
      <c r="M264" s="15" t="inlineStr">
        <is>
          <t>guest animal(s) + Bobo</t>
        </is>
      </c>
      <c r="N264" s="15" t="inlineStr">
        <is>
          <t>Story + 3 true animal facts; value: friendship</t>
        </is>
      </c>
      <c r="O264" s="15" t="inlineStr">
        <is>
          <t>Build first: firefly</t>
        </is>
      </c>
      <c r="P264" s="15" t="inlineStr">
        <is>
          <t>P2</t>
        </is>
      </c>
      <c r="Q264" s="15" t="inlineStr">
        <is>
          <t>Idea</t>
        </is>
      </c>
      <c r="R264" s="48">
        <f>INDEX('Start Here'!$B$10:$B$16,WEEKDAY(C264,2))</f>
        <v/>
      </c>
      <c r="S264" s="48">
        <f>MOD(R264+'Start Here'!$B$6/24,1)</f>
        <v/>
      </c>
      <c r="T264" s="15" t="n"/>
      <c r="U264" s="15" t="n"/>
      <c r="V264" s="15" t="n"/>
      <c r="W264" s="15" t="n"/>
      <c r="X264" s="20" t="n"/>
      <c r="Y264" s="15" t="n"/>
    </row>
    <row r="265">
      <c r="A265" s="15" t="n">
        <v>264</v>
      </c>
      <c r="B265" s="16">
        <f>INT((A265-1)/7)+1</f>
        <v/>
      </c>
      <c r="C265" s="47">
        <f>'Start Here'!$B$5+A265-1</f>
        <v/>
      </c>
      <c r="D265" s="16">
        <f>TEXT(C265,"ddd")</f>
        <v/>
      </c>
      <c r="E265" s="15" t="inlineStr">
        <is>
          <t>Science Friday</t>
        </is>
      </c>
      <c r="F265" s="24" t="inlineStr">
        <is>
          <t>🚀 Science for Kids</t>
        </is>
      </c>
      <c r="G265" s="15" t="n">
        <v>38</v>
      </c>
      <c r="H265" s="15" t="inlineStr">
        <is>
          <t>Why Do Dogs Wag Their Tails?</t>
        </is>
      </c>
      <c r="I265" s="15" t="inlineStr">
        <is>
          <t>Why Do Dogs Wag Their Tails? 🚀 | Science for Kids | Tiny Sparks</t>
        </is>
      </c>
      <c r="J265" s="15" t="inlineStr">
        <is>
          <t>3–5</t>
        </is>
      </c>
      <c r="K265" s="15" t="inlineStr">
        <is>
          <t>Short 9:16</t>
        </is>
      </c>
      <c r="L265" s="15" t="inlineStr">
        <is>
          <t>45–60 s</t>
        </is>
      </c>
      <c r="M265" s="15" t="inlineStr">
        <is>
          <t>Prof. Hoot + Leo (wrong guess) + Mila</t>
        </is>
      </c>
      <c r="N265" s="15" t="inlineStr">
        <is>
          <t>Answer simply: Why Do Dogs Wag Their Tails?</t>
        </is>
      </c>
      <c r="O265" s="15" t="inlineStr">
        <is>
          <t>Yes</t>
        </is>
      </c>
      <c r="P265" s="15" t="inlineStr">
        <is>
          <t>P2</t>
        </is>
      </c>
      <c r="Q265" s="15" t="inlineStr">
        <is>
          <t>Idea</t>
        </is>
      </c>
      <c r="R265" s="48">
        <f>INDEX('Start Here'!$B$10:$B$16,WEEKDAY(C265,2))</f>
        <v/>
      </c>
      <c r="S265" s="48">
        <f>MOD(R265+'Start Here'!$B$6/24,1)</f>
        <v/>
      </c>
      <c r="T265" s="15" t="n"/>
      <c r="U265" s="15" t="n"/>
      <c r="V265" s="15" t="n"/>
      <c r="W265" s="15" t="n"/>
      <c r="X265" s="20" t="n"/>
      <c r="Y265" s="15" t="n"/>
    </row>
    <row r="266">
      <c r="A266" s="15" t="n">
        <v>265</v>
      </c>
      <c r="B266" s="16">
        <f>INT((A266-1)/7)+1</f>
        <v/>
      </c>
      <c r="C266" s="47">
        <f>'Start Here'!$B$5+A266-1</f>
        <v/>
      </c>
      <c r="D266" s="16">
        <f>TEXT(C266,"ddd")</f>
        <v/>
      </c>
      <c r="E266" s="15" t="inlineStr">
        <is>
          <t>Puzzle Saturday</t>
        </is>
      </c>
      <c r="F266" s="25" t="inlineStr">
        <is>
          <t>🧩 Puzzles &amp; Problem-Solving</t>
        </is>
      </c>
      <c r="G266" s="15" t="n">
        <v>38</v>
      </c>
      <c r="H266" s="15" t="inlineStr">
        <is>
          <t>Treasure Maze</t>
        </is>
      </c>
      <c r="I266" s="15" t="inlineStr">
        <is>
          <t>Treasure Maze 🧩 | Brain Games for Kids | Tiny Sparks</t>
        </is>
      </c>
      <c r="J266" s="15" t="inlineStr">
        <is>
          <t>6–8</t>
        </is>
      </c>
      <c r="K266" s="15" t="inlineStr">
        <is>
          <t>Short 9:16</t>
        </is>
      </c>
      <c r="L266" s="15" t="inlineStr">
        <is>
          <t>45–60 s</t>
        </is>
      </c>
      <c r="M266" s="15" t="inlineStr">
        <is>
          <t>Prof. Hoot + Leo + score strip</t>
        </is>
      </c>
      <c r="N266" s="15" t="inlineStr">
        <is>
          <t>Thinking skill: spatial thinking</t>
        </is>
      </c>
      <c r="O266" s="15" t="inlineStr">
        <is>
          <t>Yes</t>
        </is>
      </c>
      <c r="P266" s="15" t="inlineStr">
        <is>
          <t>P2</t>
        </is>
      </c>
      <c r="Q266" s="15" t="inlineStr">
        <is>
          <t>Idea</t>
        </is>
      </c>
      <c r="R266" s="48">
        <f>INDEX('Start Here'!$B$10:$B$16,WEEKDAY(C266,2))</f>
        <v/>
      </c>
      <c r="S266" s="48">
        <f>MOD(R266+'Start Here'!$B$6/24,1)</f>
        <v/>
      </c>
      <c r="T266" s="15" t="n"/>
      <c r="U266" s="15" t="n"/>
      <c r="V266" s="15" t="n"/>
      <c r="W266" s="15" t="n"/>
      <c r="X266" s="20" t="n"/>
      <c r="Y266" s="15" t="n"/>
    </row>
    <row r="267">
      <c r="A267" s="15" t="n">
        <v>266</v>
      </c>
      <c r="B267" s="16">
        <f>INT((A267-1)/7)+1</f>
        <v/>
      </c>
      <c r="C267" s="47">
        <f>'Start Here'!$B$5+A267-1</f>
        <v/>
      </c>
      <c r="D267" s="16">
        <f>TEXT(C267,"ddd")</f>
        <v/>
      </c>
      <c r="E267" s="15" t="inlineStr">
        <is>
          <t>Song Sunday</t>
        </is>
      </c>
      <c r="F267" s="26" t="inlineStr">
        <is>
          <t>🎵 Educational Songs</t>
        </is>
      </c>
      <c r="G267" s="15" t="n">
        <v>38</v>
      </c>
      <c r="H267" s="15" t="inlineStr">
        <is>
          <t>Helping Others Song</t>
        </is>
      </c>
      <c r="I267" s="15" t="inlineStr">
        <is>
          <t>Helping Others Song 🎵 | Kids Songs | Tiny Sparks</t>
        </is>
      </c>
      <c r="J267" s="15" t="inlineStr">
        <is>
          <t>3–5</t>
        </is>
      </c>
      <c r="K267" s="15" t="inlineStr">
        <is>
          <t>Long 16:9 + Short cut</t>
        </is>
      </c>
      <c r="L267" s="15" t="inlineStr">
        <is>
          <t>2–3 min (Short: 45 s chorus)</t>
        </is>
      </c>
      <c r="M267" s="15" t="inlineStr">
        <is>
          <t>Mila sings, all dance</t>
        </is>
      </c>
      <c r="N267" s="15" t="inlineStr">
        <is>
          <t>Sing &amp; learn: Helping Others</t>
        </is>
      </c>
      <c r="O267" s="15" t="inlineStr">
        <is>
          <t>Yes</t>
        </is>
      </c>
      <c r="P267" s="15" t="inlineStr">
        <is>
          <t>P2</t>
        </is>
      </c>
      <c r="Q267" s="15" t="inlineStr">
        <is>
          <t>Idea</t>
        </is>
      </c>
      <c r="R267" s="48">
        <f>INDEX('Start Here'!$B$10:$B$16,WEEKDAY(C267,2))</f>
        <v/>
      </c>
      <c r="S267" s="48">
        <f>MOD(R267+'Start Here'!$B$6/24,1)</f>
        <v/>
      </c>
      <c r="T267" s="15" t="n"/>
      <c r="U267" s="15" t="n"/>
      <c r="V267" s="15" t="n"/>
      <c r="W267" s="15" t="n"/>
      <c r="X267" s="20" t="n"/>
      <c r="Y267" s="15" t="n"/>
    </row>
    <row r="268">
      <c r="A268" s="15" t="n">
        <v>267</v>
      </c>
      <c r="B268" s="16">
        <f>INT((A268-1)/7)+1</f>
        <v/>
      </c>
      <c r="C268" s="47">
        <f>'Start Here'!$B$5+A268-1</f>
        <v/>
      </c>
      <c r="D268" s="16">
        <f>TEXT(C268,"ddd")</f>
        <v/>
      </c>
      <c r="E268" s="15" t="inlineStr">
        <is>
          <t>Story Monday</t>
        </is>
      </c>
      <c r="F268" s="18" t="inlineStr">
        <is>
          <t>🧠 Educational Stories</t>
        </is>
      </c>
      <c r="G268" s="15" t="n">
        <v>20</v>
      </c>
      <c r="H268" s="15" t="inlineStr">
        <is>
          <t>Sara Learns to Keep Promises</t>
        </is>
      </c>
      <c r="I268" s="15" t="inlineStr">
        <is>
          <t>Mila Learns to Keep Promises 🧠 | Kids Stories | Tiny Sparks</t>
        </is>
      </c>
      <c r="J268" s="15" t="inlineStr">
        <is>
          <t>3–5</t>
        </is>
      </c>
      <c r="K268" s="15" t="inlineStr">
        <is>
          <t>Long 16:9 + Short teaser</t>
        </is>
      </c>
      <c r="L268" s="15" t="inlineStr">
        <is>
          <t>3–5 min (Short: 50 s)</t>
        </is>
      </c>
      <c r="M268" s="15" t="inlineStr">
        <is>
          <t>Mila (lead) · Mila, Leo, Bobo + narrator</t>
        </is>
      </c>
      <c r="N268" s="15" t="inlineStr">
        <is>
          <t>Life skill: Keep Promises</t>
        </is>
      </c>
      <c r="O268" s="15" t="inlineStr">
        <is>
          <t>Yes</t>
        </is>
      </c>
      <c r="P268" s="15" t="inlineStr">
        <is>
          <t>P2</t>
        </is>
      </c>
      <c r="Q268" s="15" t="inlineStr">
        <is>
          <t>Idea</t>
        </is>
      </c>
      <c r="R268" s="48">
        <f>INDEX('Start Here'!$B$10:$B$16,WEEKDAY(C268,2))</f>
        <v/>
      </c>
      <c r="S268" s="48">
        <f>MOD(R268+'Start Here'!$B$6/24,1)</f>
        <v/>
      </c>
      <c r="T268" s="15" t="n"/>
      <c r="U268" s="15" t="n"/>
      <c r="V268" s="15" t="n"/>
      <c r="W268" s="15" t="n"/>
      <c r="X268" s="20" t="n"/>
      <c r="Y268" s="15" t="n"/>
    </row>
    <row r="269">
      <c r="A269" s="15" t="n">
        <v>268</v>
      </c>
      <c r="B269" s="16">
        <f>INT((A269-1)/7)+1</f>
        <v/>
      </c>
      <c r="C269" s="47">
        <f>'Start Here'!$B$5+A269-1</f>
        <v/>
      </c>
      <c r="D269" s="16">
        <f>TEXT(C269,"ddd")</f>
        <v/>
      </c>
      <c r="E269" s="15" t="inlineStr">
        <is>
          <t>Math Tuesday</t>
        </is>
      </c>
      <c r="F269" s="21" t="inlineStr">
        <is>
          <t>🔢 Numbers &amp; Math</t>
        </is>
      </c>
      <c r="G269" s="15" t="n">
        <v>39</v>
      </c>
      <c r="H269" s="15" t="inlineStr">
        <is>
          <t>Addition with Toys</t>
        </is>
      </c>
      <c r="I269" s="15" t="inlineStr">
        <is>
          <t>Addition with Toys 🔢 | Learn Math for Kids | Tiny Sparks</t>
        </is>
      </c>
      <c r="J269" s="15" t="inlineStr">
        <is>
          <t>6–8</t>
        </is>
      </c>
      <c r="K269" s="15" t="inlineStr">
        <is>
          <t>Short 9:16</t>
        </is>
      </c>
      <c r="L269" s="15" t="inlineStr">
        <is>
          <t>45–60 s</t>
        </is>
      </c>
      <c r="M269" s="15" t="inlineStr">
        <is>
          <t>Bobo + Mila (counting fingers)</t>
        </is>
      </c>
      <c r="N269" s="15" t="inlineStr">
        <is>
          <t>Math: Addition with Toys</t>
        </is>
      </c>
      <c r="O269" s="15" t="inlineStr">
        <is>
          <t>Yes</t>
        </is>
      </c>
      <c r="P269" s="15" t="inlineStr">
        <is>
          <t>P2</t>
        </is>
      </c>
      <c r="Q269" s="15" t="inlineStr">
        <is>
          <t>Idea</t>
        </is>
      </c>
      <c r="R269" s="48">
        <f>INDEX('Start Here'!$B$10:$B$16,WEEKDAY(C269,2))</f>
        <v/>
      </c>
      <c r="S269" s="48">
        <f>MOD(R269+'Start Here'!$B$6/24,1)</f>
        <v/>
      </c>
      <c r="T269" s="15" t="n"/>
      <c r="U269" s="15" t="n"/>
      <c r="V269" s="15" t="n"/>
      <c r="W269" s="15" t="n"/>
      <c r="X269" s="20" t="n"/>
      <c r="Y269" s="15" t="n"/>
    </row>
    <row r="270">
      <c r="A270" s="15" t="n">
        <v>269</v>
      </c>
      <c r="B270" s="16">
        <f>INT((A270-1)/7)+1</f>
        <v/>
      </c>
      <c r="C270" s="47">
        <f>'Start Here'!$B$5+A270-1</f>
        <v/>
      </c>
      <c r="D270" s="16">
        <f>TEXT(C270,"ddd")</f>
        <v/>
      </c>
      <c r="E270" s="15" t="inlineStr">
        <is>
          <t>Word Wednesday</t>
        </is>
      </c>
      <c r="F270" s="22" t="inlineStr">
        <is>
          <t>🔤 English/French Words</t>
        </is>
      </c>
      <c r="G270" s="15" t="n">
        <v>39</v>
      </c>
      <c r="H270" s="15" t="inlineStr">
        <is>
          <t>Young and Old</t>
        </is>
      </c>
      <c r="I270" s="15" t="inlineStr">
        <is>
          <t>Young and Old 🔤 | Kids Vocabulary | Tiny Sparks</t>
        </is>
      </c>
      <c r="J270" s="15" t="inlineStr">
        <is>
          <t>3–5</t>
        </is>
      </c>
      <c r="K270" s="15" t="inlineStr">
        <is>
          <t>Short 9:16</t>
        </is>
      </c>
      <c r="L270" s="15" t="inlineStr">
        <is>
          <t>45–60 s</t>
        </is>
      </c>
      <c r="M270" s="15" t="inlineStr">
        <is>
          <t>Mila + French narrator</t>
        </is>
      </c>
      <c r="N270" s="15" t="inlineStr">
        <is>
          <t>Vocabulary EN→FR: Young and Old</t>
        </is>
      </c>
      <c r="O270" s="15" t="inlineStr">
        <is>
          <t>Yes</t>
        </is>
      </c>
      <c r="P270" s="15" t="inlineStr">
        <is>
          <t>P2</t>
        </is>
      </c>
      <c r="Q270" s="15" t="inlineStr">
        <is>
          <t>Idea</t>
        </is>
      </c>
      <c r="R270" s="48">
        <f>INDEX('Start Here'!$B$10:$B$16,WEEKDAY(C270,2))</f>
        <v/>
      </c>
      <c r="S270" s="48">
        <f>MOD(R270+'Start Here'!$B$6/24,1)</f>
        <v/>
      </c>
      <c r="T270" s="15" t="n"/>
      <c r="U270" s="15" t="n"/>
      <c r="V270" s="15" t="n"/>
      <c r="W270" s="15" t="n"/>
      <c r="X270" s="20" t="n"/>
      <c r="Y270" s="15" t="n"/>
    </row>
    <row r="271">
      <c r="A271" s="15" t="n">
        <v>270</v>
      </c>
      <c r="B271" s="16">
        <f>INT((A271-1)/7)+1</f>
        <v/>
      </c>
      <c r="C271" s="47">
        <f>'Start Here'!$B$5+A271-1</f>
        <v/>
      </c>
      <c r="D271" s="16">
        <f>TEXT(C271,"ddd")</f>
        <v/>
      </c>
      <c r="E271" s="15" t="inlineStr">
        <is>
          <t>Animal Thursday</t>
        </is>
      </c>
      <c r="F271" s="23" t="inlineStr">
        <is>
          <t>🦁 Animal Stories</t>
        </is>
      </c>
      <c r="G271" s="15" t="n">
        <v>39</v>
      </c>
      <c r="H271" s="15" t="inlineStr">
        <is>
          <t>The Bee Who Saved the Garden</t>
        </is>
      </c>
      <c r="I271" s="15" t="inlineStr">
        <is>
          <t>The Bee Who Saved the Garden 🦁 | Animal Stories for Kids | Tiny Sparks</t>
        </is>
      </c>
      <c r="J271" s="15" t="inlineStr">
        <is>
          <t>3–5</t>
        </is>
      </c>
      <c r="K271" s="15" t="inlineStr">
        <is>
          <t>Long 16:9 + Short teaser</t>
        </is>
      </c>
      <c r="L271" s="15" t="inlineStr">
        <is>
          <t>3–5 min (Short: 50 s)</t>
        </is>
      </c>
      <c r="M271" s="15" t="inlineStr">
        <is>
          <t>guest animal(s) + Bobo</t>
        </is>
      </c>
      <c r="N271" s="15" t="inlineStr">
        <is>
          <t>Story + 3 true animal facts; value: friendship</t>
        </is>
      </c>
      <c r="O271" s="15" t="inlineStr">
        <is>
          <t>Build first: bee</t>
        </is>
      </c>
      <c r="P271" s="15" t="inlineStr">
        <is>
          <t>P2</t>
        </is>
      </c>
      <c r="Q271" s="15" t="inlineStr">
        <is>
          <t>Idea</t>
        </is>
      </c>
      <c r="R271" s="48">
        <f>INDEX('Start Here'!$B$10:$B$16,WEEKDAY(C271,2))</f>
        <v/>
      </c>
      <c r="S271" s="48">
        <f>MOD(R271+'Start Here'!$B$6/24,1)</f>
        <v/>
      </c>
      <c r="T271" s="15" t="n"/>
      <c r="U271" s="15" t="n"/>
      <c r="V271" s="15" t="n"/>
      <c r="W271" s="15" t="n"/>
      <c r="X271" s="20" t="n"/>
      <c r="Y271" s="15" t="n"/>
    </row>
    <row r="272">
      <c r="A272" s="15" t="n">
        <v>271</v>
      </c>
      <c r="B272" s="16">
        <f>INT((A272-1)/7)+1</f>
        <v/>
      </c>
      <c r="C272" s="47">
        <f>'Start Here'!$B$5+A272-1</f>
        <v/>
      </c>
      <c r="D272" s="16">
        <f>TEXT(C272,"ddd")</f>
        <v/>
      </c>
      <c r="E272" s="15" t="inlineStr">
        <is>
          <t>Science Friday</t>
        </is>
      </c>
      <c r="F272" s="24" t="inlineStr">
        <is>
          <t>🚀 Science for Kids</t>
        </is>
      </c>
      <c r="G272" s="15" t="n">
        <v>39</v>
      </c>
      <c r="H272" s="15" t="inlineStr">
        <is>
          <t>Why Do Giraffes Have Long Necks?</t>
        </is>
      </c>
      <c r="I272" s="15" t="inlineStr">
        <is>
          <t>Why Do Giraffes Have Long Necks? 🚀 | Science for Kids | Tiny Sparks</t>
        </is>
      </c>
      <c r="J272" s="15" t="inlineStr">
        <is>
          <t>3–5</t>
        </is>
      </c>
      <c r="K272" s="15" t="inlineStr">
        <is>
          <t>Short 9:16</t>
        </is>
      </c>
      <c r="L272" s="15" t="inlineStr">
        <is>
          <t>45–60 s</t>
        </is>
      </c>
      <c r="M272" s="15" t="inlineStr">
        <is>
          <t>Prof. Hoot + Leo (wrong guess) + Mila</t>
        </is>
      </c>
      <c r="N272" s="15" t="inlineStr">
        <is>
          <t>Answer simply: Why Do Giraffes Have Long Necks?</t>
        </is>
      </c>
      <c r="O272" s="15" t="inlineStr">
        <is>
          <t>Yes</t>
        </is>
      </c>
      <c r="P272" s="15" t="inlineStr">
        <is>
          <t>P2</t>
        </is>
      </c>
      <c r="Q272" s="15" t="inlineStr">
        <is>
          <t>Idea</t>
        </is>
      </c>
      <c r="R272" s="48">
        <f>INDEX('Start Here'!$B$10:$B$16,WEEKDAY(C272,2))</f>
        <v/>
      </c>
      <c r="S272" s="48">
        <f>MOD(R272+'Start Here'!$B$6/24,1)</f>
        <v/>
      </c>
      <c r="T272" s="15" t="n"/>
      <c r="U272" s="15" t="n"/>
      <c r="V272" s="15" t="n"/>
      <c r="W272" s="15" t="n"/>
      <c r="X272" s="20" t="n"/>
      <c r="Y272" s="15" t="n"/>
    </row>
    <row r="273">
      <c r="A273" s="15" t="n">
        <v>272</v>
      </c>
      <c r="B273" s="16">
        <f>INT((A273-1)/7)+1</f>
        <v/>
      </c>
      <c r="C273" s="47">
        <f>'Start Here'!$B$5+A273-1</f>
        <v/>
      </c>
      <c r="D273" s="16">
        <f>TEXT(C273,"ddd")</f>
        <v/>
      </c>
      <c r="E273" s="15" t="inlineStr">
        <is>
          <t>Puzzle Saturday</t>
        </is>
      </c>
      <c r="F273" s="25" t="inlineStr">
        <is>
          <t>🧩 Puzzles &amp; Problem-Solving</t>
        </is>
      </c>
      <c r="G273" s="15" t="n">
        <v>39</v>
      </c>
      <c r="H273" s="15" t="inlineStr">
        <is>
          <t>Castle Maze</t>
        </is>
      </c>
      <c r="I273" s="15" t="inlineStr">
        <is>
          <t>Castle Maze 🧩 | Brain Games for Kids | Tiny Sparks</t>
        </is>
      </c>
      <c r="J273" s="15" t="inlineStr">
        <is>
          <t>6–8</t>
        </is>
      </c>
      <c r="K273" s="15" t="inlineStr">
        <is>
          <t>Short 9:16</t>
        </is>
      </c>
      <c r="L273" s="15" t="inlineStr">
        <is>
          <t>45–60 s</t>
        </is>
      </c>
      <c r="M273" s="15" t="inlineStr">
        <is>
          <t>Prof. Hoot + Leo + score strip</t>
        </is>
      </c>
      <c r="N273" s="15" t="inlineStr">
        <is>
          <t>Thinking skill: spatial thinking</t>
        </is>
      </c>
      <c r="O273" s="15" t="inlineStr">
        <is>
          <t>Yes</t>
        </is>
      </c>
      <c r="P273" s="15" t="inlineStr">
        <is>
          <t>P2</t>
        </is>
      </c>
      <c r="Q273" s="15" t="inlineStr">
        <is>
          <t>Idea</t>
        </is>
      </c>
      <c r="R273" s="48">
        <f>INDEX('Start Here'!$B$10:$B$16,WEEKDAY(C273,2))</f>
        <v/>
      </c>
      <c r="S273" s="48">
        <f>MOD(R273+'Start Here'!$B$6/24,1)</f>
        <v/>
      </c>
      <c r="T273" s="15" t="n"/>
      <c r="U273" s="15" t="n"/>
      <c r="V273" s="15" t="n"/>
      <c r="W273" s="15" t="n"/>
      <c r="X273" s="20" t="n"/>
      <c r="Y273" s="15" t="n"/>
    </row>
    <row r="274">
      <c r="A274" s="15" t="n">
        <v>273</v>
      </c>
      <c r="B274" s="16">
        <f>INT((A274-1)/7)+1</f>
        <v/>
      </c>
      <c r="C274" s="47">
        <f>'Start Here'!$B$5+A274-1</f>
        <v/>
      </c>
      <c r="D274" s="16">
        <f>TEXT(C274,"ddd")</f>
        <v/>
      </c>
      <c r="E274" s="15" t="inlineStr">
        <is>
          <t>Song Sunday</t>
        </is>
      </c>
      <c r="F274" s="26" t="inlineStr">
        <is>
          <t>🎵 Educational Songs</t>
        </is>
      </c>
      <c r="G274" s="15" t="n">
        <v>39</v>
      </c>
      <c r="H274" s="15" t="inlineStr">
        <is>
          <t>Teamwork Song</t>
        </is>
      </c>
      <c r="I274" s="15" t="inlineStr">
        <is>
          <t>Teamwork Song 🎵 | Kids Songs | Tiny Sparks</t>
        </is>
      </c>
      <c r="J274" s="15" t="inlineStr">
        <is>
          <t>3–5</t>
        </is>
      </c>
      <c r="K274" s="15" t="inlineStr">
        <is>
          <t>Long 16:9 + Short cut</t>
        </is>
      </c>
      <c r="L274" s="15" t="inlineStr">
        <is>
          <t>2–3 min (Short: 45 s chorus)</t>
        </is>
      </c>
      <c r="M274" s="15" t="inlineStr">
        <is>
          <t>Mila sings, all dance</t>
        </is>
      </c>
      <c r="N274" s="15" t="inlineStr">
        <is>
          <t>Sing &amp; learn: Teamwork</t>
        </is>
      </c>
      <c r="O274" s="15" t="inlineStr">
        <is>
          <t>Yes</t>
        </is>
      </c>
      <c r="P274" s="15" t="inlineStr">
        <is>
          <t>P2</t>
        </is>
      </c>
      <c r="Q274" s="15" t="inlineStr">
        <is>
          <t>Idea</t>
        </is>
      </c>
      <c r="R274" s="48">
        <f>INDEX('Start Here'!$B$10:$B$16,WEEKDAY(C274,2))</f>
        <v/>
      </c>
      <c r="S274" s="48">
        <f>MOD(R274+'Start Here'!$B$6/24,1)</f>
        <v/>
      </c>
      <c r="T274" s="15" t="n"/>
      <c r="U274" s="15" t="n"/>
      <c r="V274" s="15" t="n"/>
      <c r="W274" s="15" t="n"/>
      <c r="X274" s="20" t="n"/>
      <c r="Y274" s="15" t="n"/>
    </row>
    <row r="275">
      <c r="A275" s="15" t="n">
        <v>274</v>
      </c>
      <c r="B275" s="16">
        <f>INT((A275-1)/7)+1</f>
        <v/>
      </c>
      <c r="C275" s="47">
        <f>'Start Here'!$B$5+A275-1</f>
        <v/>
      </c>
      <c r="D275" s="16">
        <f>TEXT(C275,"ddd")</f>
        <v/>
      </c>
      <c r="E275" s="15" t="inlineStr">
        <is>
          <t>Story Monday</t>
        </is>
      </c>
      <c r="F275" s="27" t="inlineStr">
        <is>
          <t>📚 Moral Stories</t>
        </is>
      </c>
      <c r="G275" s="15" t="n">
        <v>20</v>
      </c>
      <c r="H275" s="15" t="inlineStr">
        <is>
          <t>The Helpful Elephant</t>
        </is>
      </c>
      <c r="I275" s="15" t="inlineStr">
        <is>
          <t>The Helpful Elephant 📚 | Moral Stories for Kids | Tiny Sparks</t>
        </is>
      </c>
      <c r="J275" s="15" t="inlineStr">
        <is>
          <t>3–5</t>
        </is>
      </c>
      <c r="K275" s="15" t="inlineStr">
        <is>
          <t>Long 16:9 + Short teaser</t>
        </is>
      </c>
      <c r="L275" s="15" t="inlineStr">
        <is>
          <t>3–5 min (Short: 50 s)</t>
        </is>
      </c>
      <c r="M275" s="15" t="inlineStr">
        <is>
          <t>narrator + guest animals / Mila &amp; Leo</t>
        </is>
      </c>
      <c r="N275" s="15" t="inlineStr">
        <is>
          <t>Value: helping others</t>
        </is>
      </c>
      <c r="O275" s="15" t="inlineStr">
        <is>
          <t>Build first: elephant</t>
        </is>
      </c>
      <c r="P275" s="15" t="inlineStr">
        <is>
          <t>P2</t>
        </is>
      </c>
      <c r="Q275" s="15" t="inlineStr">
        <is>
          <t>Idea</t>
        </is>
      </c>
      <c r="R275" s="48">
        <f>INDEX('Start Here'!$B$10:$B$16,WEEKDAY(C275,2))</f>
        <v/>
      </c>
      <c r="S275" s="48">
        <f>MOD(R275+'Start Here'!$B$6/24,1)</f>
        <v/>
      </c>
      <c r="T275" s="15" t="n"/>
      <c r="U275" s="15" t="n"/>
      <c r="V275" s="15" t="n"/>
      <c r="W275" s="15" t="n"/>
      <c r="X275" s="20" t="n"/>
      <c r="Y275" s="15" t="n"/>
    </row>
    <row r="276">
      <c r="A276" s="15" t="n">
        <v>275</v>
      </c>
      <c r="B276" s="16">
        <f>INT((A276-1)/7)+1</f>
        <v/>
      </c>
      <c r="C276" s="47">
        <f>'Start Here'!$B$5+A276-1</f>
        <v/>
      </c>
      <c r="D276" s="16">
        <f>TEXT(C276,"ddd")</f>
        <v/>
      </c>
      <c r="E276" s="15" t="inlineStr">
        <is>
          <t>Math Tuesday</t>
        </is>
      </c>
      <c r="F276" s="21" t="inlineStr">
        <is>
          <t>🔢 Numbers &amp; Math</t>
        </is>
      </c>
      <c r="G276" s="15" t="n">
        <v>40</v>
      </c>
      <c r="H276" s="15" t="inlineStr">
        <is>
          <t>Addition 1–10</t>
        </is>
      </c>
      <c r="I276" s="15" t="inlineStr">
        <is>
          <t>Addition 1–10 🔢 | Learn Math for Kids | Tiny Sparks</t>
        </is>
      </c>
      <c r="J276" s="15" t="inlineStr">
        <is>
          <t>6–8</t>
        </is>
      </c>
      <c r="K276" s="15" t="inlineStr">
        <is>
          <t>Short 9:16</t>
        </is>
      </c>
      <c r="L276" s="15" t="inlineStr">
        <is>
          <t>45–60 s</t>
        </is>
      </c>
      <c r="M276" s="15" t="inlineStr">
        <is>
          <t>Bobo + Mila (counting fingers)</t>
        </is>
      </c>
      <c r="N276" s="15" t="inlineStr">
        <is>
          <t>Math: Addition 1–10</t>
        </is>
      </c>
      <c r="O276" s="15" t="inlineStr">
        <is>
          <t>Yes</t>
        </is>
      </c>
      <c r="P276" s="15" t="inlineStr">
        <is>
          <t>P2</t>
        </is>
      </c>
      <c r="Q276" s="15" t="inlineStr">
        <is>
          <t>Idea</t>
        </is>
      </c>
      <c r="R276" s="48">
        <f>INDEX('Start Here'!$B$10:$B$16,WEEKDAY(C276,2))</f>
        <v/>
      </c>
      <c r="S276" s="48">
        <f>MOD(R276+'Start Here'!$B$6/24,1)</f>
        <v/>
      </c>
      <c r="T276" s="15" t="n"/>
      <c r="U276" s="15" t="n"/>
      <c r="V276" s="15" t="n"/>
      <c r="W276" s="15" t="n"/>
      <c r="X276" s="20" t="n"/>
      <c r="Y276" s="15" t="n"/>
    </row>
    <row r="277">
      <c r="A277" s="15" t="n">
        <v>276</v>
      </c>
      <c r="B277" s="16">
        <f>INT((A277-1)/7)+1</f>
        <v/>
      </c>
      <c r="C277" s="47">
        <f>'Start Here'!$B$5+A277-1</f>
        <v/>
      </c>
      <c r="D277" s="16">
        <f>TEXT(C277,"ddd")</f>
        <v/>
      </c>
      <c r="E277" s="15" t="inlineStr">
        <is>
          <t>Word Wednesday</t>
        </is>
      </c>
      <c r="F277" s="22" t="inlineStr">
        <is>
          <t>🔤 English/French Words</t>
        </is>
      </c>
      <c r="G277" s="15" t="n">
        <v>40</v>
      </c>
      <c r="H277" s="15" t="inlineStr">
        <is>
          <t>Easy and Difficult</t>
        </is>
      </c>
      <c r="I277" s="15" t="inlineStr">
        <is>
          <t>Easy and Difficult 🔤 | Kids Vocabulary | Tiny Sparks</t>
        </is>
      </c>
      <c r="J277" s="15" t="inlineStr">
        <is>
          <t>3–5</t>
        </is>
      </c>
      <c r="K277" s="15" t="inlineStr">
        <is>
          <t>Short 9:16</t>
        </is>
      </c>
      <c r="L277" s="15" t="inlineStr">
        <is>
          <t>45–60 s</t>
        </is>
      </c>
      <c r="M277" s="15" t="inlineStr">
        <is>
          <t>Mila + French narrator</t>
        </is>
      </c>
      <c r="N277" s="15" t="inlineStr">
        <is>
          <t>Vocabulary EN→FR: Easy and Difficult</t>
        </is>
      </c>
      <c r="O277" s="15" t="inlineStr">
        <is>
          <t>Yes</t>
        </is>
      </c>
      <c r="P277" s="15" t="inlineStr">
        <is>
          <t>P2</t>
        </is>
      </c>
      <c r="Q277" s="15" t="inlineStr">
        <is>
          <t>Idea</t>
        </is>
      </c>
      <c r="R277" s="48">
        <f>INDEX('Start Here'!$B$10:$B$16,WEEKDAY(C277,2))</f>
        <v/>
      </c>
      <c r="S277" s="48">
        <f>MOD(R277+'Start Here'!$B$6/24,1)</f>
        <v/>
      </c>
      <c r="T277" s="15" t="n"/>
      <c r="U277" s="15" t="n"/>
      <c r="V277" s="15" t="n"/>
      <c r="W277" s="15" t="n"/>
      <c r="X277" s="20" t="n"/>
      <c r="Y277" s="15" t="n"/>
    </row>
    <row r="278">
      <c r="A278" s="15" t="n">
        <v>277</v>
      </c>
      <c r="B278" s="16">
        <f>INT((A278-1)/7)+1</f>
        <v/>
      </c>
      <c r="C278" s="47">
        <f>'Start Here'!$B$5+A278-1</f>
        <v/>
      </c>
      <c r="D278" s="16">
        <f>TEXT(C278,"ddd")</f>
        <v/>
      </c>
      <c r="E278" s="15" t="inlineStr">
        <is>
          <t>Animal Thursday</t>
        </is>
      </c>
      <c r="F278" s="23" t="inlineStr">
        <is>
          <t>🦁 Animal Stories</t>
        </is>
      </c>
      <c r="G278" s="15" t="n">
        <v>40</v>
      </c>
      <c r="H278" s="15" t="inlineStr">
        <is>
          <t>The Ants Build a Bridge</t>
        </is>
      </c>
      <c r="I278" s="15" t="inlineStr">
        <is>
          <t>The Ants Build a Bridge 🦁 | Animal Stories for Kids | Tiny Sparks</t>
        </is>
      </c>
      <c r="J278" s="15" t="inlineStr">
        <is>
          <t>6–8</t>
        </is>
      </c>
      <c r="K278" s="15" t="inlineStr">
        <is>
          <t>Long 16:9 + Short teaser</t>
        </is>
      </c>
      <c r="L278" s="15" t="inlineStr">
        <is>
          <t>3–5 min (Short: 50 s)</t>
        </is>
      </c>
      <c r="M278" s="15" t="inlineStr">
        <is>
          <t>guest animal(s) + Bobo</t>
        </is>
      </c>
      <c r="N278" s="15" t="inlineStr">
        <is>
          <t>Story + 3 true animal facts; value: friendship</t>
        </is>
      </c>
      <c r="O278" s="15" t="inlineStr">
        <is>
          <t>Build first: ants</t>
        </is>
      </c>
      <c r="P278" s="15" t="inlineStr">
        <is>
          <t>P2</t>
        </is>
      </c>
      <c r="Q278" s="15" t="inlineStr">
        <is>
          <t>Idea</t>
        </is>
      </c>
      <c r="R278" s="48">
        <f>INDEX('Start Here'!$B$10:$B$16,WEEKDAY(C278,2))</f>
        <v/>
      </c>
      <c r="S278" s="48">
        <f>MOD(R278+'Start Here'!$B$6/24,1)</f>
        <v/>
      </c>
      <c r="T278" s="15" t="n"/>
      <c r="U278" s="15" t="n"/>
      <c r="V278" s="15" t="n"/>
      <c r="W278" s="15" t="n"/>
      <c r="X278" s="20" t="n"/>
      <c r="Y278" s="15" t="n"/>
    </row>
    <row r="279">
      <c r="A279" s="15" t="n">
        <v>278</v>
      </c>
      <c r="B279" s="16">
        <f>INT((A279-1)/7)+1</f>
        <v/>
      </c>
      <c r="C279" s="47">
        <f>'Start Here'!$B$5+A279-1</f>
        <v/>
      </c>
      <c r="D279" s="16">
        <f>TEXT(C279,"ddd")</f>
        <v/>
      </c>
      <c r="E279" s="15" t="inlineStr">
        <is>
          <t>Science Friday</t>
        </is>
      </c>
      <c r="F279" s="24" t="inlineStr">
        <is>
          <t>🚀 Science for Kids</t>
        </is>
      </c>
      <c r="G279" s="15" t="n">
        <v>40</v>
      </c>
      <c r="H279" s="15" t="inlineStr">
        <is>
          <t>Why Do Elephants Have Trunks?</t>
        </is>
      </c>
      <c r="I279" s="15" t="inlineStr">
        <is>
          <t>Why Do Elephants Have Trunks? 🚀 | Science for Kids | Tiny Sparks</t>
        </is>
      </c>
      <c r="J279" s="15" t="inlineStr">
        <is>
          <t>3–5</t>
        </is>
      </c>
      <c r="K279" s="15" t="inlineStr">
        <is>
          <t>Short 9:16</t>
        </is>
      </c>
      <c r="L279" s="15" t="inlineStr">
        <is>
          <t>45–60 s</t>
        </is>
      </c>
      <c r="M279" s="15" t="inlineStr">
        <is>
          <t>Prof. Hoot + Leo (wrong guess) + Mila</t>
        </is>
      </c>
      <c r="N279" s="15" t="inlineStr">
        <is>
          <t>Answer simply: Why Do Elephants Have Trunks?</t>
        </is>
      </c>
      <c r="O279" s="15" t="inlineStr">
        <is>
          <t>Yes</t>
        </is>
      </c>
      <c r="P279" s="15" t="inlineStr">
        <is>
          <t>P2</t>
        </is>
      </c>
      <c r="Q279" s="15" t="inlineStr">
        <is>
          <t>Idea</t>
        </is>
      </c>
      <c r="R279" s="48">
        <f>INDEX('Start Here'!$B$10:$B$16,WEEKDAY(C279,2))</f>
        <v/>
      </c>
      <c r="S279" s="48">
        <f>MOD(R279+'Start Here'!$B$6/24,1)</f>
        <v/>
      </c>
      <c r="T279" s="15" t="n"/>
      <c r="U279" s="15" t="n"/>
      <c r="V279" s="15" t="n"/>
      <c r="W279" s="15" t="n"/>
      <c r="X279" s="20" t="n"/>
      <c r="Y279" s="15" t="n"/>
    </row>
    <row r="280">
      <c r="A280" s="15" t="n">
        <v>279</v>
      </c>
      <c r="B280" s="16">
        <f>INT((A280-1)/7)+1</f>
        <v/>
      </c>
      <c r="C280" s="47">
        <f>'Start Here'!$B$5+A280-1</f>
        <v/>
      </c>
      <c r="D280" s="16">
        <f>TEXT(C280,"ddd")</f>
        <v/>
      </c>
      <c r="E280" s="15" t="inlineStr">
        <is>
          <t>Puzzle Saturday</t>
        </is>
      </c>
      <c r="F280" s="25" t="inlineStr">
        <is>
          <t>🧩 Puzzles &amp; Problem-Solving</t>
        </is>
      </c>
      <c r="G280" s="15" t="n">
        <v>40</v>
      </c>
      <c r="H280" s="15" t="inlineStr">
        <is>
          <t>Dinosaur Maze</t>
        </is>
      </c>
      <c r="I280" s="15" t="inlineStr">
        <is>
          <t>Dinosaur Maze 🧩 | Brain Games for Kids | Tiny Sparks</t>
        </is>
      </c>
      <c r="J280" s="15" t="inlineStr">
        <is>
          <t>6–8</t>
        </is>
      </c>
      <c r="K280" s="15" t="inlineStr">
        <is>
          <t>Short 9:16</t>
        </is>
      </c>
      <c r="L280" s="15" t="inlineStr">
        <is>
          <t>45–60 s</t>
        </is>
      </c>
      <c r="M280" s="15" t="inlineStr">
        <is>
          <t>Prof. Hoot + Leo + score strip</t>
        </is>
      </c>
      <c r="N280" s="15" t="inlineStr">
        <is>
          <t>Thinking skill: spatial thinking</t>
        </is>
      </c>
      <c r="O280" s="15" t="inlineStr">
        <is>
          <t>Build first: dinosaur</t>
        </is>
      </c>
      <c r="P280" s="15" t="inlineStr">
        <is>
          <t>P2</t>
        </is>
      </c>
      <c r="Q280" s="15" t="inlineStr">
        <is>
          <t>Idea</t>
        </is>
      </c>
      <c r="R280" s="48">
        <f>INDEX('Start Here'!$B$10:$B$16,WEEKDAY(C280,2))</f>
        <v/>
      </c>
      <c r="S280" s="48">
        <f>MOD(R280+'Start Here'!$B$6/24,1)</f>
        <v/>
      </c>
      <c r="T280" s="15" t="n"/>
      <c r="U280" s="15" t="n"/>
      <c r="V280" s="15" t="n"/>
      <c r="W280" s="15" t="n"/>
      <c r="X280" s="20" t="n"/>
      <c r="Y280" s="15" t="n"/>
    </row>
    <row r="281">
      <c r="A281" s="15" t="n">
        <v>280</v>
      </c>
      <c r="B281" s="16">
        <f>INT((A281-1)/7)+1</f>
        <v/>
      </c>
      <c r="C281" s="47">
        <f>'Start Here'!$B$5+A281-1</f>
        <v/>
      </c>
      <c r="D281" s="16">
        <f>TEXT(C281,"ddd")</f>
        <v/>
      </c>
      <c r="E281" s="15" t="inlineStr">
        <is>
          <t>Song Sunday</t>
        </is>
      </c>
      <c r="F281" s="26" t="inlineStr">
        <is>
          <t>🎵 Educational Songs</t>
        </is>
      </c>
      <c r="G281" s="15" t="n">
        <v>40</v>
      </c>
      <c r="H281" s="15" t="inlineStr">
        <is>
          <t>Be Honest Song</t>
        </is>
      </c>
      <c r="I281" s="15" t="inlineStr">
        <is>
          <t>Be Honest Song 🎵 | Kids Songs | Tiny Sparks</t>
        </is>
      </c>
      <c r="J281" s="15" t="inlineStr">
        <is>
          <t>3–5</t>
        </is>
      </c>
      <c r="K281" s="15" t="inlineStr">
        <is>
          <t>Long 16:9 + Short cut</t>
        </is>
      </c>
      <c r="L281" s="15" t="inlineStr">
        <is>
          <t>2–3 min (Short: 45 s chorus)</t>
        </is>
      </c>
      <c r="M281" s="15" t="inlineStr">
        <is>
          <t>Mila sings, all dance</t>
        </is>
      </c>
      <c r="N281" s="15" t="inlineStr">
        <is>
          <t>Sing &amp; learn: Be Honest</t>
        </is>
      </c>
      <c r="O281" s="15" t="inlineStr">
        <is>
          <t>Yes</t>
        </is>
      </c>
      <c r="P281" s="15" t="inlineStr">
        <is>
          <t>P2</t>
        </is>
      </c>
      <c r="Q281" s="15" t="inlineStr">
        <is>
          <t>Idea</t>
        </is>
      </c>
      <c r="R281" s="48">
        <f>INDEX('Start Here'!$B$10:$B$16,WEEKDAY(C281,2))</f>
        <v/>
      </c>
      <c r="S281" s="48">
        <f>MOD(R281+'Start Here'!$B$6/24,1)</f>
        <v/>
      </c>
      <c r="T281" s="15" t="n"/>
      <c r="U281" s="15" t="n"/>
      <c r="V281" s="15" t="n"/>
      <c r="W281" s="15" t="n"/>
      <c r="X281" s="20" t="n"/>
      <c r="Y281" s="15" t="n"/>
    </row>
    <row r="282">
      <c r="A282" s="15" t="n">
        <v>281</v>
      </c>
      <c r="B282" s="16">
        <f>INT((A282-1)/7)+1</f>
        <v/>
      </c>
      <c r="C282" s="47">
        <f>'Start Here'!$B$5+A282-1</f>
        <v/>
      </c>
      <c r="D282" s="16">
        <f>TEXT(C282,"ddd")</f>
        <v/>
      </c>
      <c r="E282" s="15" t="inlineStr">
        <is>
          <t>Story Monday</t>
        </is>
      </c>
      <c r="F282" s="18" t="inlineStr">
        <is>
          <t>🧠 Educational Stories</t>
        </is>
      </c>
      <c r="G282" s="15" t="n">
        <v>21</v>
      </c>
      <c r="H282" s="15" t="inlineStr">
        <is>
          <t>The Adventure of the Helpful Robot</t>
        </is>
      </c>
      <c r="I282" s="15" t="inlineStr">
        <is>
          <t>The Adventure of the Helpful Robot 🧠 | Kids Stories | Tiny Sparks</t>
        </is>
      </c>
      <c r="J282" s="15" t="inlineStr">
        <is>
          <t>3–5</t>
        </is>
      </c>
      <c r="K282" s="15" t="inlineStr">
        <is>
          <t>Long 16:9 + Short teaser</t>
        </is>
      </c>
      <c r="L282" s="15" t="inlineStr">
        <is>
          <t>3–5 min (Short: 50 s)</t>
        </is>
      </c>
      <c r="M282" s="15" t="inlineStr">
        <is>
          <t>Mila, Leo, Bobo + narrator</t>
        </is>
      </c>
      <c r="N282" s="15" t="inlineStr">
        <is>
          <t>Life skill: helping others</t>
        </is>
      </c>
      <c r="O282" s="15" t="inlineStr">
        <is>
          <t>Build first: robot</t>
        </is>
      </c>
      <c r="P282" s="15" t="inlineStr">
        <is>
          <t>P2</t>
        </is>
      </c>
      <c r="Q282" s="15" t="inlineStr">
        <is>
          <t>Idea</t>
        </is>
      </c>
      <c r="R282" s="48">
        <f>INDEX('Start Here'!$B$10:$B$16,WEEKDAY(C282,2))</f>
        <v/>
      </c>
      <c r="S282" s="48">
        <f>MOD(R282+'Start Here'!$B$6/24,1)</f>
        <v/>
      </c>
      <c r="T282" s="15" t="n"/>
      <c r="U282" s="15" t="n"/>
      <c r="V282" s="15" t="n"/>
      <c r="W282" s="15" t="n"/>
      <c r="X282" s="20" t="n"/>
      <c r="Y282" s="15" t="n"/>
    </row>
    <row r="283">
      <c r="A283" s="15" t="n">
        <v>282</v>
      </c>
      <c r="B283" s="16">
        <f>INT((A283-1)/7)+1</f>
        <v/>
      </c>
      <c r="C283" s="47">
        <f>'Start Here'!$B$5+A283-1</f>
        <v/>
      </c>
      <c r="D283" s="16">
        <f>TEXT(C283,"ddd")</f>
        <v/>
      </c>
      <c r="E283" s="15" t="inlineStr">
        <is>
          <t>Math Tuesday</t>
        </is>
      </c>
      <c r="F283" s="21" t="inlineStr">
        <is>
          <t>🔢 Numbers &amp; Math</t>
        </is>
      </c>
      <c r="G283" s="15" t="n">
        <v>41</v>
      </c>
      <c r="H283" s="15" t="inlineStr">
        <is>
          <t>Addition 1–20</t>
        </is>
      </c>
      <c r="I283" s="15" t="inlineStr">
        <is>
          <t>Addition 1–20 🔢 | Learn Math for Kids | Tiny Sparks</t>
        </is>
      </c>
      <c r="J283" s="15" t="inlineStr">
        <is>
          <t>6–8</t>
        </is>
      </c>
      <c r="K283" s="15" t="inlineStr">
        <is>
          <t>Short 9:16</t>
        </is>
      </c>
      <c r="L283" s="15" t="inlineStr">
        <is>
          <t>45–60 s</t>
        </is>
      </c>
      <c r="M283" s="15" t="inlineStr">
        <is>
          <t>Bobo + Mila (counting fingers)</t>
        </is>
      </c>
      <c r="N283" s="15" t="inlineStr">
        <is>
          <t>Math: Addition 1–20</t>
        </is>
      </c>
      <c r="O283" s="15" t="inlineStr">
        <is>
          <t>Yes</t>
        </is>
      </c>
      <c r="P283" s="15" t="inlineStr">
        <is>
          <t>P2</t>
        </is>
      </c>
      <c r="Q283" s="15" t="inlineStr">
        <is>
          <t>Idea</t>
        </is>
      </c>
      <c r="R283" s="48">
        <f>INDEX('Start Here'!$B$10:$B$16,WEEKDAY(C283,2))</f>
        <v/>
      </c>
      <c r="S283" s="48">
        <f>MOD(R283+'Start Here'!$B$6/24,1)</f>
        <v/>
      </c>
      <c r="T283" s="15" t="n"/>
      <c r="U283" s="15" t="n"/>
      <c r="V283" s="15" t="n"/>
      <c r="W283" s="15" t="n"/>
      <c r="X283" s="20" t="n"/>
      <c r="Y283" s="15" t="n"/>
    </row>
    <row r="284">
      <c r="A284" s="15" t="n">
        <v>283</v>
      </c>
      <c r="B284" s="16">
        <f>INT((A284-1)/7)+1</f>
        <v/>
      </c>
      <c r="C284" s="47">
        <f>'Start Here'!$B$5+A284-1</f>
        <v/>
      </c>
      <c r="D284" s="16">
        <f>TEXT(C284,"ddd")</f>
        <v/>
      </c>
      <c r="E284" s="15" t="inlineStr">
        <is>
          <t>Word Wednesday</t>
        </is>
      </c>
      <c r="F284" s="22" t="inlineStr">
        <is>
          <t>🔤 English/French Words</t>
        </is>
      </c>
      <c r="G284" s="15" t="n">
        <v>41</v>
      </c>
      <c r="H284" s="15" t="inlineStr">
        <is>
          <t>20 Action Verbs</t>
        </is>
      </c>
      <c r="I284" s="15" t="inlineStr">
        <is>
          <t>20 Action Verbs 🔤 | Kids Vocabulary | Tiny Sparks</t>
        </is>
      </c>
      <c r="J284" s="15" t="inlineStr">
        <is>
          <t>6–8</t>
        </is>
      </c>
      <c r="K284" s="15" t="inlineStr">
        <is>
          <t>Long 16:9</t>
        </is>
      </c>
      <c r="L284" s="15" t="inlineStr">
        <is>
          <t>4–8 min</t>
        </is>
      </c>
      <c r="M284" s="15" t="inlineStr">
        <is>
          <t>Mila + French narrator</t>
        </is>
      </c>
      <c r="N284" s="15" t="inlineStr">
        <is>
          <t>Vocabulary EN→FR: 20 Action Verbs</t>
        </is>
      </c>
      <c r="O284" s="15" t="inlineStr">
        <is>
          <t>Yes</t>
        </is>
      </c>
      <c r="P284" s="15" t="inlineStr">
        <is>
          <t>P2</t>
        </is>
      </c>
      <c r="Q284" s="15" t="inlineStr">
        <is>
          <t>Idea</t>
        </is>
      </c>
      <c r="R284" s="48">
        <f>INDEX('Start Here'!$B$10:$B$16,WEEKDAY(C284,2))</f>
        <v/>
      </c>
      <c r="S284" s="48">
        <f>MOD(R284+'Start Here'!$B$6/24,1)</f>
        <v/>
      </c>
      <c r="T284" s="15" t="n"/>
      <c r="U284" s="15" t="n"/>
      <c r="V284" s="15" t="n"/>
      <c r="W284" s="15" t="n"/>
      <c r="X284" s="20" t="n"/>
      <c r="Y284" s="15" t="n"/>
    </row>
    <row r="285">
      <c r="A285" s="15" t="n">
        <v>284</v>
      </c>
      <c r="B285" s="16">
        <f>INT((A285-1)/7)+1</f>
        <v/>
      </c>
      <c r="C285" s="47">
        <f>'Start Here'!$B$5+A285-1</f>
        <v/>
      </c>
      <c r="D285" s="16">
        <f>TEXT(C285,"ddd")</f>
        <v/>
      </c>
      <c r="E285" s="15" t="inlineStr">
        <is>
          <t>Animal Thursday</t>
        </is>
      </c>
      <c r="F285" s="23" t="inlineStr">
        <is>
          <t>🦁 Animal Stories</t>
        </is>
      </c>
      <c r="G285" s="15" t="n">
        <v>41</v>
      </c>
      <c r="H285" s="15" t="inlineStr">
        <is>
          <t>The Lion's Birthday</t>
        </is>
      </c>
      <c r="I285" s="15" t="inlineStr">
        <is>
          <t>The Lion's Birthday 🦁 | Animal Stories for Kids | Tiny Sparks</t>
        </is>
      </c>
      <c r="J285" s="15" t="inlineStr">
        <is>
          <t>3–5</t>
        </is>
      </c>
      <c r="K285" s="15" t="inlineStr">
        <is>
          <t>Long 16:9 + Short teaser</t>
        </is>
      </c>
      <c r="L285" s="15" t="inlineStr">
        <is>
          <t>3–5 min (Short: 50 s)</t>
        </is>
      </c>
      <c r="M285" s="15" t="inlineStr">
        <is>
          <t>guest animal(s) + Bobo</t>
        </is>
      </c>
      <c r="N285" s="15" t="inlineStr">
        <is>
          <t>Story + 3 true animal facts; value: friendship</t>
        </is>
      </c>
      <c r="O285" s="15" t="inlineStr">
        <is>
          <t>Yes</t>
        </is>
      </c>
      <c r="P285" s="15" t="inlineStr">
        <is>
          <t>P2</t>
        </is>
      </c>
      <c r="Q285" s="15" t="inlineStr">
        <is>
          <t>Idea</t>
        </is>
      </c>
      <c r="R285" s="48">
        <f>INDEX('Start Here'!$B$10:$B$16,WEEKDAY(C285,2))</f>
        <v/>
      </c>
      <c r="S285" s="48">
        <f>MOD(R285+'Start Here'!$B$6/24,1)</f>
        <v/>
      </c>
      <c r="T285" s="15" t="n"/>
      <c r="U285" s="15" t="n"/>
      <c r="V285" s="15" t="n"/>
      <c r="W285" s="15" t="n"/>
      <c r="X285" s="20" t="n"/>
      <c r="Y285" s="15" t="n"/>
    </row>
    <row r="286">
      <c r="A286" s="15" t="n">
        <v>285</v>
      </c>
      <c r="B286" s="16">
        <f>INT((A286-1)/7)+1</f>
        <v/>
      </c>
      <c r="C286" s="47">
        <f>'Start Here'!$B$5+A286-1</f>
        <v/>
      </c>
      <c r="D286" s="16">
        <f>TEXT(C286,"ddd")</f>
        <v/>
      </c>
      <c r="E286" s="15" t="inlineStr">
        <is>
          <t>Science Friday</t>
        </is>
      </c>
      <c r="F286" s="24" t="inlineStr">
        <is>
          <t>🚀 Science for Kids</t>
        </is>
      </c>
      <c r="G286" s="15" t="n">
        <v>41</v>
      </c>
      <c r="H286" s="15" t="inlineStr">
        <is>
          <t>What Is the Human Brain?</t>
        </is>
      </c>
      <c r="I286" s="15" t="inlineStr">
        <is>
          <t>What Is the Human Brain? 🚀 | Science for Kids | Tiny Sparks</t>
        </is>
      </c>
      <c r="J286" s="15" t="inlineStr">
        <is>
          <t>6–8</t>
        </is>
      </c>
      <c r="K286" s="15" t="inlineStr">
        <is>
          <t>Short 9:16</t>
        </is>
      </c>
      <c r="L286" s="15" t="inlineStr">
        <is>
          <t>45–60 s</t>
        </is>
      </c>
      <c r="M286" s="15" t="inlineStr">
        <is>
          <t>Prof. Hoot + Leo (wrong guess) + Mila</t>
        </is>
      </c>
      <c r="N286" s="15" t="inlineStr">
        <is>
          <t>Answer simply: What Is the Human Brain?</t>
        </is>
      </c>
      <c r="O286" s="15" t="inlineStr">
        <is>
          <t>Yes</t>
        </is>
      </c>
      <c r="P286" s="15" t="inlineStr">
        <is>
          <t>P2</t>
        </is>
      </c>
      <c r="Q286" s="15" t="inlineStr">
        <is>
          <t>Idea</t>
        </is>
      </c>
      <c r="R286" s="48">
        <f>INDEX('Start Here'!$B$10:$B$16,WEEKDAY(C286,2))</f>
        <v/>
      </c>
      <c r="S286" s="48">
        <f>MOD(R286+'Start Here'!$B$6/24,1)</f>
        <v/>
      </c>
      <c r="T286" s="15" t="n"/>
      <c r="U286" s="15" t="n"/>
      <c r="V286" s="15" t="n"/>
      <c r="W286" s="15" t="n"/>
      <c r="X286" s="20" t="n"/>
      <c r="Y286" s="15" t="n"/>
    </row>
    <row r="287">
      <c r="A287" s="15" t="n">
        <v>286</v>
      </c>
      <c r="B287" s="16">
        <f>INT((A287-1)/7)+1</f>
        <v/>
      </c>
      <c r="C287" s="47">
        <f>'Start Here'!$B$5+A287-1</f>
        <v/>
      </c>
      <c r="D287" s="16">
        <f>TEXT(C287,"ddd")</f>
        <v/>
      </c>
      <c r="E287" s="15" t="inlineStr">
        <is>
          <t>Puzzle Saturday</t>
        </is>
      </c>
      <c r="F287" s="25" t="inlineStr">
        <is>
          <t>🧩 Puzzles &amp; Problem-Solving</t>
        </is>
      </c>
      <c r="G287" s="15" t="n">
        <v>41</v>
      </c>
      <c r="H287" s="15" t="inlineStr">
        <is>
          <t>Complete the Number Pattern</t>
        </is>
      </c>
      <c r="I287" s="15" t="inlineStr">
        <is>
          <t>Complete the Number Pattern 🧩 | Brain Games for Kids | Tiny Sparks</t>
        </is>
      </c>
      <c r="J287" s="15" t="inlineStr">
        <is>
          <t>6–8</t>
        </is>
      </c>
      <c r="K287" s="15" t="inlineStr">
        <is>
          <t>Short 9:16</t>
        </is>
      </c>
      <c r="L287" s="15" t="inlineStr">
        <is>
          <t>45–60 s</t>
        </is>
      </c>
      <c r="M287" s="15" t="inlineStr">
        <is>
          <t>Prof. Hoot + Leo + score strip</t>
        </is>
      </c>
      <c r="N287" s="15" t="inlineStr">
        <is>
          <t>Thinking skill: patterns</t>
        </is>
      </c>
      <c r="O287" s="15" t="inlineStr">
        <is>
          <t>Yes</t>
        </is>
      </c>
      <c r="P287" s="15" t="inlineStr">
        <is>
          <t>P2</t>
        </is>
      </c>
      <c r="Q287" s="15" t="inlineStr">
        <is>
          <t>Idea</t>
        </is>
      </c>
      <c r="R287" s="48">
        <f>INDEX('Start Here'!$B$10:$B$16,WEEKDAY(C287,2))</f>
        <v/>
      </c>
      <c r="S287" s="48">
        <f>MOD(R287+'Start Here'!$B$6/24,1)</f>
        <v/>
      </c>
      <c r="T287" s="15" t="n"/>
      <c r="U287" s="15" t="n"/>
      <c r="V287" s="15" t="n"/>
      <c r="W287" s="15" t="n"/>
      <c r="X287" s="20" t="n"/>
      <c r="Y287" s="15" t="n"/>
    </row>
    <row r="288">
      <c r="A288" s="15" t="n">
        <v>287</v>
      </c>
      <c r="B288" s="16">
        <f>INT((A288-1)/7)+1</f>
        <v/>
      </c>
      <c r="C288" s="47">
        <f>'Start Here'!$B$5+A288-1</f>
        <v/>
      </c>
      <c r="D288" s="16">
        <f>TEXT(C288,"ddd")</f>
        <v/>
      </c>
      <c r="E288" s="15" t="inlineStr">
        <is>
          <t>Song Sunday</t>
        </is>
      </c>
      <c r="F288" s="26" t="inlineStr">
        <is>
          <t>🎵 Educational Songs</t>
        </is>
      </c>
      <c r="G288" s="15" t="n">
        <v>41</v>
      </c>
      <c r="H288" s="15" t="inlineStr">
        <is>
          <t>English Alphabet Song</t>
        </is>
      </c>
      <c r="I288" s="15" t="inlineStr">
        <is>
          <t>English Alphabet Song 🎵 | Kids Songs | Tiny Sparks</t>
        </is>
      </c>
      <c r="J288" s="15" t="inlineStr">
        <is>
          <t>3–5</t>
        </is>
      </c>
      <c r="K288" s="15" t="inlineStr">
        <is>
          <t>Long 16:9 + Short cut</t>
        </is>
      </c>
      <c r="L288" s="15" t="inlineStr">
        <is>
          <t>2–3 min (Short: 45 s chorus)</t>
        </is>
      </c>
      <c r="M288" s="15" t="inlineStr">
        <is>
          <t>Mila sings, all dance</t>
        </is>
      </c>
      <c r="N288" s="15" t="inlineStr">
        <is>
          <t>Sing &amp; learn: English Alphabet</t>
        </is>
      </c>
      <c r="O288" s="15" t="inlineStr">
        <is>
          <t>Yes</t>
        </is>
      </c>
      <c r="P288" s="15" t="inlineStr">
        <is>
          <t>P2</t>
        </is>
      </c>
      <c r="Q288" s="15" t="inlineStr">
        <is>
          <t>Idea</t>
        </is>
      </c>
      <c r="R288" s="48">
        <f>INDEX('Start Here'!$B$10:$B$16,WEEKDAY(C288,2))</f>
        <v/>
      </c>
      <c r="S288" s="48">
        <f>MOD(R288+'Start Here'!$B$6/24,1)</f>
        <v/>
      </c>
      <c r="T288" s="15" t="n"/>
      <c r="U288" s="15" t="n"/>
      <c r="V288" s="15" t="n"/>
      <c r="W288" s="15" t="n"/>
      <c r="X288" s="20" t="n"/>
      <c r="Y288" s="15" t="n"/>
    </row>
    <row r="289">
      <c r="A289" s="15" t="n">
        <v>288</v>
      </c>
      <c r="B289" s="16">
        <f>INT((A289-1)/7)+1</f>
        <v/>
      </c>
      <c r="C289" s="47">
        <f>'Start Here'!$B$5+A289-1</f>
        <v/>
      </c>
      <c r="D289" s="16">
        <f>TEXT(C289,"ddd")</f>
        <v/>
      </c>
      <c r="E289" s="15" t="inlineStr">
        <is>
          <t>Story Monday</t>
        </is>
      </c>
      <c r="F289" s="27" t="inlineStr">
        <is>
          <t>📚 Moral Stories</t>
        </is>
      </c>
      <c r="G289" s="15" t="n">
        <v>21</v>
      </c>
      <c r="H289" s="15" t="inlineStr">
        <is>
          <t>The Boy Who Broke His Promise</t>
        </is>
      </c>
      <c r="I289" s="15" t="inlineStr">
        <is>
          <t>The Boy Who Broke His Promise 📚 | Moral Stories for Kids | Tiny Sparks</t>
        </is>
      </c>
      <c r="J289" s="15" t="inlineStr">
        <is>
          <t>3–5</t>
        </is>
      </c>
      <c r="K289" s="15" t="inlineStr">
        <is>
          <t>Long 16:9 + Short teaser</t>
        </is>
      </c>
      <c r="L289" s="15" t="inlineStr">
        <is>
          <t>3–5 min (Short: 50 s)</t>
        </is>
      </c>
      <c r="M289" s="15" t="inlineStr">
        <is>
          <t>narrator + guest animals / Mila &amp; Leo</t>
        </is>
      </c>
      <c r="N289" s="15" t="inlineStr">
        <is>
          <t>Value: keeping promises</t>
        </is>
      </c>
      <c r="O289" s="15" t="inlineStr">
        <is>
          <t>Yes</t>
        </is>
      </c>
      <c r="P289" s="15" t="inlineStr">
        <is>
          <t>P2</t>
        </is>
      </c>
      <c r="Q289" s="15" t="inlineStr">
        <is>
          <t>Idea</t>
        </is>
      </c>
      <c r="R289" s="48">
        <f>INDEX('Start Here'!$B$10:$B$16,WEEKDAY(C289,2))</f>
        <v/>
      </c>
      <c r="S289" s="48">
        <f>MOD(R289+'Start Here'!$B$6/24,1)</f>
        <v/>
      </c>
      <c r="T289" s="15" t="n"/>
      <c r="U289" s="15" t="n"/>
      <c r="V289" s="15" t="n"/>
      <c r="W289" s="15" t="n"/>
      <c r="X289" s="20" t="n"/>
      <c r="Y289" s="15" t="n"/>
    </row>
    <row r="290">
      <c r="A290" s="15" t="n">
        <v>289</v>
      </c>
      <c r="B290" s="16">
        <f>INT((A290-1)/7)+1</f>
        <v/>
      </c>
      <c r="C290" s="47">
        <f>'Start Here'!$B$5+A290-1</f>
        <v/>
      </c>
      <c r="D290" s="16">
        <f>TEXT(C290,"ddd")</f>
        <v/>
      </c>
      <c r="E290" s="15" t="inlineStr">
        <is>
          <t>Math Tuesday</t>
        </is>
      </c>
      <c r="F290" s="21" t="inlineStr">
        <is>
          <t>🔢 Numbers &amp; Math</t>
        </is>
      </c>
      <c r="G290" s="15" t="n">
        <v>42</v>
      </c>
      <c r="H290" s="15" t="inlineStr">
        <is>
          <t>Subtraction with Cookies</t>
        </is>
      </c>
      <c r="I290" s="15" t="inlineStr">
        <is>
          <t>Subtraction with Cookies 🔢 | Learn Math for Kids | Tiny Sparks</t>
        </is>
      </c>
      <c r="J290" s="15" t="inlineStr">
        <is>
          <t>6–8</t>
        </is>
      </c>
      <c r="K290" s="15" t="inlineStr">
        <is>
          <t>Short 9:16</t>
        </is>
      </c>
      <c r="L290" s="15" t="inlineStr">
        <is>
          <t>45–60 s</t>
        </is>
      </c>
      <c r="M290" s="15" t="inlineStr">
        <is>
          <t>Bobo + Mila (counting fingers)</t>
        </is>
      </c>
      <c r="N290" s="15" t="inlineStr">
        <is>
          <t>Math: Subtraction with Cookies</t>
        </is>
      </c>
      <c r="O290" s="15" t="inlineStr">
        <is>
          <t>Yes</t>
        </is>
      </c>
      <c r="P290" s="15" t="inlineStr">
        <is>
          <t>P2</t>
        </is>
      </c>
      <c r="Q290" s="15" t="inlineStr">
        <is>
          <t>Idea</t>
        </is>
      </c>
      <c r="R290" s="48">
        <f>INDEX('Start Here'!$B$10:$B$16,WEEKDAY(C290,2))</f>
        <v/>
      </c>
      <c r="S290" s="48">
        <f>MOD(R290+'Start Here'!$B$6/24,1)</f>
        <v/>
      </c>
      <c r="T290" s="15" t="n"/>
      <c r="U290" s="15" t="n"/>
      <c r="V290" s="15" t="n"/>
      <c r="W290" s="15" t="n"/>
      <c r="X290" s="20" t="n"/>
      <c r="Y290" s="15" t="n"/>
    </row>
    <row r="291">
      <c r="A291" s="15" t="n">
        <v>290</v>
      </c>
      <c r="B291" s="16">
        <f>INT((A291-1)/7)+1</f>
        <v/>
      </c>
      <c r="C291" s="47">
        <f>'Start Here'!$B$5+A291-1</f>
        <v/>
      </c>
      <c r="D291" s="16">
        <f>TEXT(C291,"ddd")</f>
        <v/>
      </c>
      <c r="E291" s="15" t="inlineStr">
        <is>
          <t>Word Wednesday</t>
        </is>
      </c>
      <c r="F291" s="22" t="inlineStr">
        <is>
          <t>🔤 English/French Words</t>
        </is>
      </c>
      <c r="G291" s="15" t="n">
        <v>42</v>
      </c>
      <c r="H291" s="15" t="inlineStr">
        <is>
          <t>Run, Jump, Walk and Dance</t>
        </is>
      </c>
      <c r="I291" s="15" t="inlineStr">
        <is>
          <t>Run, Jump, Walk and Dance 🔤 | Kids Vocabulary | Tiny Sparks</t>
        </is>
      </c>
      <c r="J291" s="15" t="inlineStr">
        <is>
          <t>3–5</t>
        </is>
      </c>
      <c r="K291" s="15" t="inlineStr">
        <is>
          <t>Short 9:16</t>
        </is>
      </c>
      <c r="L291" s="15" t="inlineStr">
        <is>
          <t>45–60 s</t>
        </is>
      </c>
      <c r="M291" s="15" t="inlineStr">
        <is>
          <t>Mila + French narrator</t>
        </is>
      </c>
      <c r="N291" s="15" t="inlineStr">
        <is>
          <t>Vocabulary EN→FR: Run, Jump, Walk and Dance</t>
        </is>
      </c>
      <c r="O291" s="15" t="inlineStr">
        <is>
          <t>Yes</t>
        </is>
      </c>
      <c r="P291" s="15" t="inlineStr">
        <is>
          <t>P2</t>
        </is>
      </c>
      <c r="Q291" s="15" t="inlineStr">
        <is>
          <t>Idea</t>
        </is>
      </c>
      <c r="R291" s="48">
        <f>INDEX('Start Here'!$B$10:$B$16,WEEKDAY(C291,2))</f>
        <v/>
      </c>
      <c r="S291" s="48">
        <f>MOD(R291+'Start Here'!$B$6/24,1)</f>
        <v/>
      </c>
      <c r="T291" s="15" t="n"/>
      <c r="U291" s="15" t="n"/>
      <c r="V291" s="15" t="n"/>
      <c r="W291" s="15" t="n"/>
      <c r="X291" s="20" t="n"/>
      <c r="Y291" s="15" t="n"/>
    </row>
    <row r="292">
      <c r="A292" s="15" t="n">
        <v>291</v>
      </c>
      <c r="B292" s="16">
        <f>INT((A292-1)/7)+1</f>
        <v/>
      </c>
      <c r="C292" s="47">
        <f>'Start Here'!$B$5+A292-1</f>
        <v/>
      </c>
      <c r="D292" s="16">
        <f>TEXT(C292,"ddd")</f>
        <v/>
      </c>
      <c r="E292" s="15" t="inlineStr">
        <is>
          <t>Animal Thursday</t>
        </is>
      </c>
      <c r="F292" s="23" t="inlineStr">
        <is>
          <t>🦁 Animal Stories</t>
        </is>
      </c>
      <c r="G292" s="15" t="n">
        <v>42</v>
      </c>
      <c r="H292" s="15" t="inlineStr">
        <is>
          <t>The Monkey's Birthday Surprise</t>
        </is>
      </c>
      <c r="I292" s="15" t="inlineStr">
        <is>
          <t>The Monkey's Birthday Surprise 🦁 | Animal Stories for Kids | Tiny Sparks</t>
        </is>
      </c>
      <c r="J292" s="15" t="inlineStr">
        <is>
          <t>3–5</t>
        </is>
      </c>
      <c r="K292" s="15" t="inlineStr">
        <is>
          <t>Long 16:9 + Short teaser</t>
        </is>
      </c>
      <c r="L292" s="15" t="inlineStr">
        <is>
          <t>3–5 min (Short: 50 s)</t>
        </is>
      </c>
      <c r="M292" s="15" t="inlineStr">
        <is>
          <t>guest animal(s) + Bobo</t>
        </is>
      </c>
      <c r="N292" s="15" t="inlineStr">
        <is>
          <t>Story + 3 true animal facts; value: friendship</t>
        </is>
      </c>
      <c r="O292" s="15" t="inlineStr">
        <is>
          <t>Build first: monkey</t>
        </is>
      </c>
      <c r="P292" s="15" t="inlineStr">
        <is>
          <t>P2</t>
        </is>
      </c>
      <c r="Q292" s="15" t="inlineStr">
        <is>
          <t>Idea</t>
        </is>
      </c>
      <c r="R292" s="48">
        <f>INDEX('Start Here'!$B$10:$B$16,WEEKDAY(C292,2))</f>
        <v/>
      </c>
      <c r="S292" s="48">
        <f>MOD(R292+'Start Here'!$B$6/24,1)</f>
        <v/>
      </c>
      <c r="T292" s="15" t="n"/>
      <c r="U292" s="15" t="n"/>
      <c r="V292" s="15" t="n"/>
      <c r="W292" s="15" t="n"/>
      <c r="X292" s="20" t="n"/>
      <c r="Y292" s="15" t="n"/>
    </row>
    <row r="293">
      <c r="A293" s="15" t="n">
        <v>292</v>
      </c>
      <c r="B293" s="16">
        <f>INT((A293-1)/7)+1</f>
        <v/>
      </c>
      <c r="C293" s="47">
        <f>'Start Here'!$B$5+A293-1</f>
        <v/>
      </c>
      <c r="D293" s="16">
        <f>TEXT(C293,"ddd")</f>
        <v/>
      </c>
      <c r="E293" s="15" t="inlineStr">
        <is>
          <t>Science Friday</t>
        </is>
      </c>
      <c r="F293" s="24" t="inlineStr">
        <is>
          <t>🚀 Science for Kids</t>
        </is>
      </c>
      <c r="G293" s="15" t="n">
        <v>42</v>
      </c>
      <c r="H293" s="15" t="inlineStr">
        <is>
          <t>How Do We See?</t>
        </is>
      </c>
      <c r="I293" s="15" t="inlineStr">
        <is>
          <t>How Do We See? 🚀 | Science for Kids | Tiny Sparks</t>
        </is>
      </c>
      <c r="J293" s="15" t="inlineStr">
        <is>
          <t>3–5</t>
        </is>
      </c>
      <c r="K293" s="15" t="inlineStr">
        <is>
          <t>Short 9:16</t>
        </is>
      </c>
      <c r="L293" s="15" t="inlineStr">
        <is>
          <t>45–60 s</t>
        </is>
      </c>
      <c r="M293" s="15" t="inlineStr">
        <is>
          <t>Prof. Hoot + Leo (wrong guess) + Mila</t>
        </is>
      </c>
      <c r="N293" s="15" t="inlineStr">
        <is>
          <t>Answer simply: How Do We See?</t>
        </is>
      </c>
      <c r="O293" s="15" t="inlineStr">
        <is>
          <t>Yes</t>
        </is>
      </c>
      <c r="P293" s="15" t="inlineStr">
        <is>
          <t>P2</t>
        </is>
      </c>
      <c r="Q293" s="15" t="inlineStr">
        <is>
          <t>Idea</t>
        </is>
      </c>
      <c r="R293" s="48">
        <f>INDEX('Start Here'!$B$10:$B$16,WEEKDAY(C293,2))</f>
        <v/>
      </c>
      <c r="S293" s="48">
        <f>MOD(R293+'Start Here'!$B$6/24,1)</f>
        <v/>
      </c>
      <c r="T293" s="15" t="n"/>
      <c r="U293" s="15" t="n"/>
      <c r="V293" s="15" t="n"/>
      <c r="W293" s="15" t="n"/>
      <c r="X293" s="20" t="n"/>
      <c r="Y293" s="15" t="n"/>
    </row>
    <row r="294">
      <c r="A294" s="15" t="n">
        <v>293</v>
      </c>
      <c r="B294" s="16">
        <f>INT((A294-1)/7)+1</f>
        <v/>
      </c>
      <c r="C294" s="47">
        <f>'Start Here'!$B$5+A294-1</f>
        <v/>
      </c>
      <c r="D294" s="16">
        <f>TEXT(C294,"ddd")</f>
        <v/>
      </c>
      <c r="E294" s="15" t="inlineStr">
        <is>
          <t>Puzzle Saturday</t>
        </is>
      </c>
      <c r="F294" s="25" t="inlineStr">
        <is>
          <t>🧩 Puzzles &amp; Problem-Solving</t>
        </is>
      </c>
      <c r="G294" s="15" t="n">
        <v>42</v>
      </c>
      <c r="H294" s="15" t="inlineStr">
        <is>
          <t>Complete the Color Pattern</t>
        </is>
      </c>
      <c r="I294" s="15" t="inlineStr">
        <is>
          <t>Complete the Color Pattern 🧩 | Brain Games for Kids | Tiny Sparks</t>
        </is>
      </c>
      <c r="J294" s="15" t="inlineStr">
        <is>
          <t>6–8</t>
        </is>
      </c>
      <c r="K294" s="15" t="inlineStr">
        <is>
          <t>Short 9:16</t>
        </is>
      </c>
      <c r="L294" s="15" t="inlineStr">
        <is>
          <t>45–60 s</t>
        </is>
      </c>
      <c r="M294" s="15" t="inlineStr">
        <is>
          <t>Prof. Hoot + Leo + score strip</t>
        </is>
      </c>
      <c r="N294" s="15" t="inlineStr">
        <is>
          <t>Thinking skill: patterns</t>
        </is>
      </c>
      <c r="O294" s="15" t="inlineStr">
        <is>
          <t>Yes</t>
        </is>
      </c>
      <c r="P294" s="15" t="inlineStr">
        <is>
          <t>P2</t>
        </is>
      </c>
      <c r="Q294" s="15" t="inlineStr">
        <is>
          <t>Idea</t>
        </is>
      </c>
      <c r="R294" s="48">
        <f>INDEX('Start Here'!$B$10:$B$16,WEEKDAY(C294,2))</f>
        <v/>
      </c>
      <c r="S294" s="48">
        <f>MOD(R294+'Start Here'!$B$6/24,1)</f>
        <v/>
      </c>
      <c r="T294" s="15" t="n"/>
      <c r="U294" s="15" t="n"/>
      <c r="V294" s="15" t="n"/>
      <c r="W294" s="15" t="n"/>
      <c r="X294" s="20" t="n"/>
      <c r="Y294" s="15" t="n"/>
    </row>
    <row r="295">
      <c r="A295" s="15" t="n">
        <v>294</v>
      </c>
      <c r="B295" s="16">
        <f>INT((A295-1)/7)+1</f>
        <v/>
      </c>
      <c r="C295" s="47">
        <f>'Start Here'!$B$5+A295-1</f>
        <v/>
      </c>
      <c r="D295" s="16">
        <f>TEXT(C295,"ddd")</f>
        <v/>
      </c>
      <c r="E295" s="15" t="inlineStr">
        <is>
          <t>Song Sunday</t>
        </is>
      </c>
      <c r="F295" s="26" t="inlineStr">
        <is>
          <t>🎵 Educational Songs</t>
        </is>
      </c>
      <c r="G295" s="15" t="n">
        <v>42</v>
      </c>
      <c r="H295" s="15" t="inlineStr">
        <is>
          <t>French Alphabet Song</t>
        </is>
      </c>
      <c r="I295" s="15" t="inlineStr">
        <is>
          <t>French Alphabet Song 🎵 | Kids Songs | Tiny Sparks</t>
        </is>
      </c>
      <c r="J295" s="15" t="inlineStr">
        <is>
          <t>3–5</t>
        </is>
      </c>
      <c r="K295" s="15" t="inlineStr">
        <is>
          <t>Long 16:9 + Short cut</t>
        </is>
      </c>
      <c r="L295" s="15" t="inlineStr">
        <is>
          <t>2–3 min (Short: 45 s chorus)</t>
        </is>
      </c>
      <c r="M295" s="15" t="inlineStr">
        <is>
          <t>Mila sings, all dance</t>
        </is>
      </c>
      <c r="N295" s="15" t="inlineStr">
        <is>
          <t>Sing &amp; learn: French Alphabet</t>
        </is>
      </c>
      <c r="O295" s="15" t="inlineStr">
        <is>
          <t>Yes</t>
        </is>
      </c>
      <c r="P295" s="15" t="inlineStr">
        <is>
          <t>P2</t>
        </is>
      </c>
      <c r="Q295" s="15" t="inlineStr">
        <is>
          <t>Idea</t>
        </is>
      </c>
      <c r="R295" s="48">
        <f>INDEX('Start Here'!$B$10:$B$16,WEEKDAY(C295,2))</f>
        <v/>
      </c>
      <c r="S295" s="48">
        <f>MOD(R295+'Start Here'!$B$6/24,1)</f>
        <v/>
      </c>
      <c r="T295" s="15" t="n"/>
      <c r="U295" s="15" t="n"/>
      <c r="V295" s="15" t="n"/>
      <c r="W295" s="15" t="n"/>
      <c r="X295" s="20" t="n"/>
      <c r="Y295" s="15" t="n"/>
    </row>
    <row r="296">
      <c r="A296" s="15" t="n">
        <v>295</v>
      </c>
      <c r="B296" s="16">
        <f>INT((A296-1)/7)+1</f>
        <v/>
      </c>
      <c r="C296" s="47">
        <f>'Start Here'!$B$5+A296-1</f>
        <v/>
      </c>
      <c r="D296" s="16">
        <f>TEXT(C296,"ddd")</f>
        <v/>
      </c>
      <c r="E296" s="15" t="inlineStr">
        <is>
          <t>Story Monday</t>
        </is>
      </c>
      <c r="F296" s="18" t="inlineStr">
        <is>
          <t>🧠 Educational Stories</t>
        </is>
      </c>
      <c r="G296" s="15" t="n">
        <v>22</v>
      </c>
      <c r="H296" s="15" t="inlineStr">
        <is>
          <t>Max Learns Why Sleep Is Important</t>
        </is>
      </c>
      <c r="I296" s="15" t="inlineStr">
        <is>
          <t>Leo Learns Why Sleep Is Important 🧠 | Kids Stories | Tiny Sparks</t>
        </is>
      </c>
      <c r="J296" s="15" t="inlineStr">
        <is>
          <t>3–5</t>
        </is>
      </c>
      <c r="K296" s="15" t="inlineStr">
        <is>
          <t>Long 16:9 + Short teaser</t>
        </is>
      </c>
      <c r="L296" s="15" t="inlineStr">
        <is>
          <t>3–5 min (Short: 50 s)</t>
        </is>
      </c>
      <c r="M296" s="15" t="inlineStr">
        <is>
          <t>Leo (lead) · Mila, Leo, Bobo + narrator</t>
        </is>
      </c>
      <c r="N296" s="15" t="inlineStr">
        <is>
          <t>Life skill: Sleep Is Important</t>
        </is>
      </c>
      <c r="O296" s="15" t="inlineStr">
        <is>
          <t>Yes</t>
        </is>
      </c>
      <c r="P296" s="15" t="inlineStr">
        <is>
          <t>P2</t>
        </is>
      </c>
      <c r="Q296" s="15" t="inlineStr">
        <is>
          <t>Idea</t>
        </is>
      </c>
      <c r="R296" s="48">
        <f>INDEX('Start Here'!$B$10:$B$16,WEEKDAY(C296,2))</f>
        <v/>
      </c>
      <c r="S296" s="48">
        <f>MOD(R296+'Start Here'!$B$6/24,1)</f>
        <v/>
      </c>
      <c r="T296" s="15" t="n"/>
      <c r="U296" s="15" t="n"/>
      <c r="V296" s="15" t="n"/>
      <c r="W296" s="15" t="n"/>
      <c r="X296" s="20" t="n"/>
      <c r="Y296" s="15" t="n"/>
    </row>
    <row r="297">
      <c r="A297" s="15" t="n">
        <v>296</v>
      </c>
      <c r="B297" s="16">
        <f>INT((A297-1)/7)+1</f>
        <v/>
      </c>
      <c r="C297" s="47">
        <f>'Start Here'!$B$5+A297-1</f>
        <v/>
      </c>
      <c r="D297" s="16">
        <f>TEXT(C297,"ddd")</f>
        <v/>
      </c>
      <c r="E297" s="15" t="inlineStr">
        <is>
          <t>Math Tuesday</t>
        </is>
      </c>
      <c r="F297" s="21" t="inlineStr">
        <is>
          <t>🔢 Numbers &amp; Math</t>
        </is>
      </c>
      <c r="G297" s="15" t="n">
        <v>43</v>
      </c>
      <c r="H297" s="15" t="inlineStr">
        <is>
          <t>Subtraction with Animals</t>
        </is>
      </c>
      <c r="I297" s="15" t="inlineStr">
        <is>
          <t>Subtraction with Animals 🔢 | Learn Math for Kids | Tiny Sparks</t>
        </is>
      </c>
      <c r="J297" s="15" t="inlineStr">
        <is>
          <t>6–8</t>
        </is>
      </c>
      <c r="K297" s="15" t="inlineStr">
        <is>
          <t>Short 9:16</t>
        </is>
      </c>
      <c r="L297" s="15" t="inlineStr">
        <is>
          <t>45–60 s</t>
        </is>
      </c>
      <c r="M297" s="15" t="inlineStr">
        <is>
          <t>Bobo + Mila (counting fingers)</t>
        </is>
      </c>
      <c r="N297" s="15" t="inlineStr">
        <is>
          <t>Math: Subtraction with Animals</t>
        </is>
      </c>
      <c r="O297" s="15" t="inlineStr">
        <is>
          <t>Yes</t>
        </is>
      </c>
      <c r="P297" s="15" t="inlineStr">
        <is>
          <t>P2</t>
        </is>
      </c>
      <c r="Q297" s="15" t="inlineStr">
        <is>
          <t>Idea</t>
        </is>
      </c>
      <c r="R297" s="48">
        <f>INDEX('Start Here'!$B$10:$B$16,WEEKDAY(C297,2))</f>
        <v/>
      </c>
      <c r="S297" s="48">
        <f>MOD(R297+'Start Here'!$B$6/24,1)</f>
        <v/>
      </c>
      <c r="T297" s="15" t="n"/>
      <c r="U297" s="15" t="n"/>
      <c r="V297" s="15" t="n"/>
      <c r="W297" s="15" t="n"/>
      <c r="X297" s="20" t="n"/>
      <c r="Y297" s="15" t="n"/>
    </row>
    <row r="298">
      <c r="A298" s="15" t="n">
        <v>297</v>
      </c>
      <c r="B298" s="16">
        <f>INT((A298-1)/7)+1</f>
        <v/>
      </c>
      <c r="C298" s="47">
        <f>'Start Here'!$B$5+A298-1</f>
        <v/>
      </c>
      <c r="D298" s="16">
        <f>TEXT(C298,"ddd")</f>
        <v/>
      </c>
      <c r="E298" s="15" t="inlineStr">
        <is>
          <t>Word Wednesday</t>
        </is>
      </c>
      <c r="F298" s="22" t="inlineStr">
        <is>
          <t>🔤 English/French Words</t>
        </is>
      </c>
      <c r="G298" s="15" t="n">
        <v>43</v>
      </c>
      <c r="H298" s="15" t="inlineStr">
        <is>
          <t>Eat, Drink and Sleep</t>
        </is>
      </c>
      <c r="I298" s="15" t="inlineStr">
        <is>
          <t>Eat, Drink and Sleep 🔤 | Kids Vocabulary | Tiny Sparks</t>
        </is>
      </c>
      <c r="J298" s="15" t="inlineStr">
        <is>
          <t>3–5</t>
        </is>
      </c>
      <c r="K298" s="15" t="inlineStr">
        <is>
          <t>Short 9:16</t>
        </is>
      </c>
      <c r="L298" s="15" t="inlineStr">
        <is>
          <t>45–60 s</t>
        </is>
      </c>
      <c r="M298" s="15" t="inlineStr">
        <is>
          <t>Mila + French narrator</t>
        </is>
      </c>
      <c r="N298" s="15" t="inlineStr">
        <is>
          <t>Vocabulary EN→FR: Eat, Drink and Sleep</t>
        </is>
      </c>
      <c r="O298" s="15" t="inlineStr">
        <is>
          <t>Yes</t>
        </is>
      </c>
      <c r="P298" s="15" t="inlineStr">
        <is>
          <t>P2</t>
        </is>
      </c>
      <c r="Q298" s="15" t="inlineStr">
        <is>
          <t>Idea</t>
        </is>
      </c>
      <c r="R298" s="48">
        <f>INDEX('Start Here'!$B$10:$B$16,WEEKDAY(C298,2))</f>
        <v/>
      </c>
      <c r="S298" s="48">
        <f>MOD(R298+'Start Here'!$B$6/24,1)</f>
        <v/>
      </c>
      <c r="T298" s="15" t="n"/>
      <c r="U298" s="15" t="n"/>
      <c r="V298" s="15" t="n"/>
      <c r="W298" s="15" t="n"/>
      <c r="X298" s="20" t="n"/>
      <c r="Y298" s="15" t="n"/>
    </row>
    <row r="299">
      <c r="A299" s="15" t="n">
        <v>298</v>
      </c>
      <c r="B299" s="16">
        <f>INT((A299-1)/7)+1</f>
        <v/>
      </c>
      <c r="C299" s="47">
        <f>'Start Here'!$B$5+A299-1</f>
        <v/>
      </c>
      <c r="D299" s="16">
        <f>TEXT(C299,"ddd")</f>
        <v/>
      </c>
      <c r="E299" s="15" t="inlineStr">
        <is>
          <t>Animal Thursday</t>
        </is>
      </c>
      <c r="F299" s="23" t="inlineStr">
        <is>
          <t>🦁 Animal Stories</t>
        </is>
      </c>
      <c r="G299" s="15" t="n">
        <v>43</v>
      </c>
      <c r="H299" s="15" t="inlineStr">
        <is>
          <t>The Elephant's Giant Cake</t>
        </is>
      </c>
      <c r="I299" s="15" t="inlineStr">
        <is>
          <t>The Elephant's Giant Cake 🦁 | Animal Stories for Kids | Tiny Sparks</t>
        </is>
      </c>
      <c r="J299" s="15" t="inlineStr">
        <is>
          <t>3–5</t>
        </is>
      </c>
      <c r="K299" s="15" t="inlineStr">
        <is>
          <t>Long 16:9 + Short teaser</t>
        </is>
      </c>
      <c r="L299" s="15" t="inlineStr">
        <is>
          <t>3–5 min (Short: 50 s)</t>
        </is>
      </c>
      <c r="M299" s="15" t="inlineStr">
        <is>
          <t>guest animal(s) + Bobo</t>
        </is>
      </c>
      <c r="N299" s="15" t="inlineStr">
        <is>
          <t>Story + 3 true animal facts; value: friendship</t>
        </is>
      </c>
      <c r="O299" s="15" t="inlineStr">
        <is>
          <t>Build first: elephant</t>
        </is>
      </c>
      <c r="P299" s="15" t="inlineStr">
        <is>
          <t>P2</t>
        </is>
      </c>
      <c r="Q299" s="15" t="inlineStr">
        <is>
          <t>Idea</t>
        </is>
      </c>
      <c r="R299" s="48">
        <f>INDEX('Start Here'!$B$10:$B$16,WEEKDAY(C299,2))</f>
        <v/>
      </c>
      <c r="S299" s="48">
        <f>MOD(R299+'Start Here'!$B$6/24,1)</f>
        <v/>
      </c>
      <c r="T299" s="15" t="n"/>
      <c r="U299" s="15" t="n"/>
      <c r="V299" s="15" t="n"/>
      <c r="W299" s="15" t="n"/>
      <c r="X299" s="20" t="n"/>
      <c r="Y299" s="15" t="n"/>
    </row>
    <row r="300">
      <c r="A300" s="15" t="n">
        <v>299</v>
      </c>
      <c r="B300" s="16">
        <f>INT((A300-1)/7)+1</f>
        <v/>
      </c>
      <c r="C300" s="47">
        <f>'Start Here'!$B$5+A300-1</f>
        <v/>
      </c>
      <c r="D300" s="16">
        <f>TEXT(C300,"ddd")</f>
        <v/>
      </c>
      <c r="E300" s="15" t="inlineStr">
        <is>
          <t>Science Friday</t>
        </is>
      </c>
      <c r="F300" s="24" t="inlineStr">
        <is>
          <t>🚀 Science for Kids</t>
        </is>
      </c>
      <c r="G300" s="15" t="n">
        <v>43</v>
      </c>
      <c r="H300" s="15" t="inlineStr">
        <is>
          <t>How Do We Hear?</t>
        </is>
      </c>
      <c r="I300" s="15" t="inlineStr">
        <is>
          <t>How Do We Hear? 🚀 | Science for Kids | Tiny Sparks</t>
        </is>
      </c>
      <c r="J300" s="15" t="inlineStr">
        <is>
          <t>3–5</t>
        </is>
      </c>
      <c r="K300" s="15" t="inlineStr">
        <is>
          <t>Short 9:16</t>
        </is>
      </c>
      <c r="L300" s="15" t="inlineStr">
        <is>
          <t>45–60 s</t>
        </is>
      </c>
      <c r="M300" s="15" t="inlineStr">
        <is>
          <t>Prof. Hoot + Leo (wrong guess) + Mila</t>
        </is>
      </c>
      <c r="N300" s="15" t="inlineStr">
        <is>
          <t>Answer simply: How Do We Hear?</t>
        </is>
      </c>
      <c r="O300" s="15" t="inlineStr">
        <is>
          <t>Yes</t>
        </is>
      </c>
      <c r="P300" s="15" t="inlineStr">
        <is>
          <t>P2</t>
        </is>
      </c>
      <c r="Q300" s="15" t="inlineStr">
        <is>
          <t>Idea</t>
        </is>
      </c>
      <c r="R300" s="48">
        <f>INDEX('Start Here'!$B$10:$B$16,WEEKDAY(C300,2))</f>
        <v/>
      </c>
      <c r="S300" s="48">
        <f>MOD(R300+'Start Here'!$B$6/24,1)</f>
        <v/>
      </c>
      <c r="T300" s="15" t="n"/>
      <c r="U300" s="15" t="n"/>
      <c r="V300" s="15" t="n"/>
      <c r="W300" s="15" t="n"/>
      <c r="X300" s="20" t="n"/>
      <c r="Y300" s="15" t="n"/>
    </row>
    <row r="301">
      <c r="A301" s="15" t="n">
        <v>300</v>
      </c>
      <c r="B301" s="16">
        <f>INT((A301-1)/7)+1</f>
        <v/>
      </c>
      <c r="C301" s="47">
        <f>'Start Here'!$B$5+A301-1</f>
        <v/>
      </c>
      <c r="D301" s="16">
        <f>TEXT(C301,"ddd")</f>
        <v/>
      </c>
      <c r="E301" s="15" t="inlineStr">
        <is>
          <t>Puzzle Saturday</t>
        </is>
      </c>
      <c r="F301" s="25" t="inlineStr">
        <is>
          <t>🧩 Puzzles &amp; Problem-Solving</t>
        </is>
      </c>
      <c r="G301" s="15" t="n">
        <v>43</v>
      </c>
      <c r="H301" s="15" t="inlineStr">
        <is>
          <t>Complete the Shape Pattern</t>
        </is>
      </c>
      <c r="I301" s="15" t="inlineStr">
        <is>
          <t>Complete the Shape Pattern 🧩 | Brain Games for Kids | Tiny Sparks</t>
        </is>
      </c>
      <c r="J301" s="15" t="inlineStr">
        <is>
          <t>6–8</t>
        </is>
      </c>
      <c r="K301" s="15" t="inlineStr">
        <is>
          <t>Short 9:16</t>
        </is>
      </c>
      <c r="L301" s="15" t="inlineStr">
        <is>
          <t>45–60 s</t>
        </is>
      </c>
      <c r="M301" s="15" t="inlineStr">
        <is>
          <t>Prof. Hoot + Leo + score strip</t>
        </is>
      </c>
      <c r="N301" s="15" t="inlineStr">
        <is>
          <t>Thinking skill: patterns</t>
        </is>
      </c>
      <c r="O301" s="15" t="inlineStr">
        <is>
          <t>Yes</t>
        </is>
      </c>
      <c r="P301" s="15" t="inlineStr">
        <is>
          <t>P2</t>
        </is>
      </c>
      <c r="Q301" s="15" t="inlineStr">
        <is>
          <t>Idea</t>
        </is>
      </c>
      <c r="R301" s="48">
        <f>INDEX('Start Here'!$B$10:$B$16,WEEKDAY(C301,2))</f>
        <v/>
      </c>
      <c r="S301" s="48">
        <f>MOD(R301+'Start Here'!$B$6/24,1)</f>
        <v/>
      </c>
      <c r="T301" s="15" t="n"/>
      <c r="U301" s="15" t="n"/>
      <c r="V301" s="15" t="n"/>
      <c r="W301" s="15" t="n"/>
      <c r="X301" s="20" t="n"/>
      <c r="Y301" s="15" t="n"/>
    </row>
    <row r="302">
      <c r="A302" s="15" t="n">
        <v>301</v>
      </c>
      <c r="B302" s="16">
        <f>INT((A302-1)/7)+1</f>
        <v/>
      </c>
      <c r="C302" s="47">
        <f>'Start Here'!$B$5+A302-1</f>
        <v/>
      </c>
      <c r="D302" s="16">
        <f>TEXT(C302,"ddd")</f>
        <v/>
      </c>
      <c r="E302" s="15" t="inlineStr">
        <is>
          <t>Song Sunday</t>
        </is>
      </c>
      <c r="F302" s="26" t="inlineStr">
        <is>
          <t>🎵 Educational Songs</t>
        </is>
      </c>
      <c r="G302" s="15" t="n">
        <v>43</v>
      </c>
      <c r="H302" s="15" t="inlineStr">
        <is>
          <t>English Colors Song</t>
        </is>
      </c>
      <c r="I302" s="15" t="inlineStr">
        <is>
          <t>English Colors Song 🎵 | Kids Songs | Tiny Sparks</t>
        </is>
      </c>
      <c r="J302" s="15" t="inlineStr">
        <is>
          <t>3–5</t>
        </is>
      </c>
      <c r="K302" s="15" t="inlineStr">
        <is>
          <t>Long 16:9 + Short cut</t>
        </is>
      </c>
      <c r="L302" s="15" t="inlineStr">
        <is>
          <t>2–3 min (Short: 45 s chorus)</t>
        </is>
      </c>
      <c r="M302" s="15" t="inlineStr">
        <is>
          <t>Mila sings, all dance</t>
        </is>
      </c>
      <c r="N302" s="15" t="inlineStr">
        <is>
          <t>Sing &amp; learn: English Colors</t>
        </is>
      </c>
      <c r="O302" s="15" t="inlineStr">
        <is>
          <t>Yes</t>
        </is>
      </c>
      <c r="P302" s="15" t="inlineStr">
        <is>
          <t>P2</t>
        </is>
      </c>
      <c r="Q302" s="15" t="inlineStr">
        <is>
          <t>Idea</t>
        </is>
      </c>
      <c r="R302" s="48">
        <f>INDEX('Start Here'!$B$10:$B$16,WEEKDAY(C302,2))</f>
        <v/>
      </c>
      <c r="S302" s="48">
        <f>MOD(R302+'Start Here'!$B$6/24,1)</f>
        <v/>
      </c>
      <c r="T302" s="15" t="n"/>
      <c r="U302" s="15" t="n"/>
      <c r="V302" s="15" t="n"/>
      <c r="W302" s="15" t="n"/>
      <c r="X302" s="20" t="n"/>
      <c r="Y302" s="15" t="n"/>
    </row>
    <row r="303">
      <c r="A303" s="15" t="n">
        <v>302</v>
      </c>
      <c r="B303" s="16">
        <f>INT((A303-1)/7)+1</f>
        <v/>
      </c>
      <c r="C303" s="47">
        <f>'Start Here'!$B$5+A303-1</f>
        <v/>
      </c>
      <c r="D303" s="16">
        <f>TEXT(C303,"ddd")</f>
        <v/>
      </c>
      <c r="E303" s="15" t="inlineStr">
        <is>
          <t>Story Monday</t>
        </is>
      </c>
      <c r="F303" s="27" t="inlineStr">
        <is>
          <t>📚 Moral Stories</t>
        </is>
      </c>
      <c r="G303" s="15" t="n">
        <v>22</v>
      </c>
      <c r="H303" s="15" t="inlineStr">
        <is>
          <t>The Girl Who Kept Her Promise</t>
        </is>
      </c>
      <c r="I303" s="15" t="inlineStr">
        <is>
          <t>The Girl Who Kept Her Promise 📚 | Moral Stories for Kids | Tiny Sparks</t>
        </is>
      </c>
      <c r="J303" s="15" t="inlineStr">
        <is>
          <t>3–5</t>
        </is>
      </c>
      <c r="K303" s="15" t="inlineStr">
        <is>
          <t>Long 16:9 + Short teaser</t>
        </is>
      </c>
      <c r="L303" s="15" t="inlineStr">
        <is>
          <t>3–5 min (Short: 50 s)</t>
        </is>
      </c>
      <c r="M303" s="15" t="inlineStr">
        <is>
          <t>narrator + guest animals / Mila &amp; Leo</t>
        </is>
      </c>
      <c r="N303" s="15" t="inlineStr">
        <is>
          <t>Value: keeping promises</t>
        </is>
      </c>
      <c r="O303" s="15" t="inlineStr">
        <is>
          <t>Yes</t>
        </is>
      </c>
      <c r="P303" s="15" t="inlineStr">
        <is>
          <t>P2</t>
        </is>
      </c>
      <c r="Q303" s="15" t="inlineStr">
        <is>
          <t>Idea</t>
        </is>
      </c>
      <c r="R303" s="48">
        <f>INDEX('Start Here'!$B$10:$B$16,WEEKDAY(C303,2))</f>
        <v/>
      </c>
      <c r="S303" s="48">
        <f>MOD(R303+'Start Here'!$B$6/24,1)</f>
        <v/>
      </c>
      <c r="T303" s="15" t="n"/>
      <c r="U303" s="15" t="n"/>
      <c r="V303" s="15" t="n"/>
      <c r="W303" s="15" t="n"/>
      <c r="X303" s="20" t="n"/>
      <c r="Y303" s="15" t="n"/>
    </row>
    <row r="304">
      <c r="A304" s="15" t="n">
        <v>303</v>
      </c>
      <c r="B304" s="16">
        <f>INT((A304-1)/7)+1</f>
        <v/>
      </c>
      <c r="C304" s="47">
        <f>'Start Here'!$B$5+A304-1</f>
        <v/>
      </c>
      <c r="D304" s="16">
        <f>TEXT(C304,"ddd")</f>
        <v/>
      </c>
      <c r="E304" s="15" t="inlineStr">
        <is>
          <t>Math Tuesday</t>
        </is>
      </c>
      <c r="F304" s="21" t="inlineStr">
        <is>
          <t>🔢 Numbers &amp; Math</t>
        </is>
      </c>
      <c r="G304" s="15" t="n">
        <v>44</v>
      </c>
      <c r="H304" s="15" t="inlineStr">
        <is>
          <t>Subtraction with Toys</t>
        </is>
      </c>
      <c r="I304" s="15" t="inlineStr">
        <is>
          <t>Subtraction with Toys 🔢 | Learn Math for Kids | Tiny Sparks</t>
        </is>
      </c>
      <c r="J304" s="15" t="inlineStr">
        <is>
          <t>6–8</t>
        </is>
      </c>
      <c r="K304" s="15" t="inlineStr">
        <is>
          <t>Short 9:16</t>
        </is>
      </c>
      <c r="L304" s="15" t="inlineStr">
        <is>
          <t>45–60 s</t>
        </is>
      </c>
      <c r="M304" s="15" t="inlineStr">
        <is>
          <t>Bobo + Mila (counting fingers)</t>
        </is>
      </c>
      <c r="N304" s="15" t="inlineStr">
        <is>
          <t>Math: Subtraction with Toys</t>
        </is>
      </c>
      <c r="O304" s="15" t="inlineStr">
        <is>
          <t>Yes</t>
        </is>
      </c>
      <c r="P304" s="15" t="inlineStr">
        <is>
          <t>P2</t>
        </is>
      </c>
      <c r="Q304" s="15" t="inlineStr">
        <is>
          <t>Idea</t>
        </is>
      </c>
      <c r="R304" s="48">
        <f>INDEX('Start Here'!$B$10:$B$16,WEEKDAY(C304,2))</f>
        <v/>
      </c>
      <c r="S304" s="48">
        <f>MOD(R304+'Start Here'!$B$6/24,1)</f>
        <v/>
      </c>
      <c r="T304" s="15" t="n"/>
      <c r="U304" s="15" t="n"/>
      <c r="V304" s="15" t="n"/>
      <c r="W304" s="15" t="n"/>
      <c r="X304" s="20" t="n"/>
      <c r="Y304" s="15" t="n"/>
    </row>
    <row r="305">
      <c r="A305" s="15" t="n">
        <v>304</v>
      </c>
      <c r="B305" s="16">
        <f>INT((A305-1)/7)+1</f>
        <v/>
      </c>
      <c r="C305" s="47">
        <f>'Start Here'!$B$5+A305-1</f>
        <v/>
      </c>
      <c r="D305" s="16">
        <f>TEXT(C305,"ddd")</f>
        <v/>
      </c>
      <c r="E305" s="15" t="inlineStr">
        <is>
          <t>Word Wednesday</t>
        </is>
      </c>
      <c r="F305" s="22" t="inlineStr">
        <is>
          <t>🔤 English/French Words</t>
        </is>
      </c>
      <c r="G305" s="15" t="n">
        <v>44</v>
      </c>
      <c r="H305" s="15" t="inlineStr">
        <is>
          <t>Wash, Brush and Clean</t>
        </is>
      </c>
      <c r="I305" s="15" t="inlineStr">
        <is>
          <t>Wash, Brush and Clean 🔤 | Kids Vocabulary | Tiny Sparks</t>
        </is>
      </c>
      <c r="J305" s="15" t="inlineStr">
        <is>
          <t>3–5</t>
        </is>
      </c>
      <c r="K305" s="15" t="inlineStr">
        <is>
          <t>Short 9:16</t>
        </is>
      </c>
      <c r="L305" s="15" t="inlineStr">
        <is>
          <t>45–60 s</t>
        </is>
      </c>
      <c r="M305" s="15" t="inlineStr">
        <is>
          <t>Mila + French narrator</t>
        </is>
      </c>
      <c r="N305" s="15" t="inlineStr">
        <is>
          <t>Vocabulary EN→FR: Wash, Brush and Clean</t>
        </is>
      </c>
      <c r="O305" s="15" t="inlineStr">
        <is>
          <t>Yes</t>
        </is>
      </c>
      <c r="P305" s="15" t="inlineStr">
        <is>
          <t>P2</t>
        </is>
      </c>
      <c r="Q305" s="15" t="inlineStr">
        <is>
          <t>Idea</t>
        </is>
      </c>
      <c r="R305" s="48">
        <f>INDEX('Start Here'!$B$10:$B$16,WEEKDAY(C305,2))</f>
        <v/>
      </c>
      <c r="S305" s="48">
        <f>MOD(R305+'Start Here'!$B$6/24,1)</f>
        <v/>
      </c>
      <c r="T305" s="15" t="n"/>
      <c r="U305" s="15" t="n"/>
      <c r="V305" s="15" t="n"/>
      <c r="W305" s="15" t="n"/>
      <c r="X305" s="20" t="n"/>
      <c r="Y305" s="15" t="n"/>
    </row>
    <row r="306">
      <c r="A306" s="15" t="n">
        <v>305</v>
      </c>
      <c r="B306" s="16">
        <f>INT((A306-1)/7)+1</f>
        <v/>
      </c>
      <c r="C306" s="47">
        <f>'Start Here'!$B$5+A306-1</f>
        <v/>
      </c>
      <c r="D306" s="16">
        <f>TEXT(C306,"ddd")</f>
        <v/>
      </c>
      <c r="E306" s="15" t="inlineStr">
        <is>
          <t>Animal Thursday</t>
        </is>
      </c>
      <c r="F306" s="23" t="inlineStr">
        <is>
          <t>🦁 Animal Stories</t>
        </is>
      </c>
      <c r="G306" s="15" t="n">
        <v>44</v>
      </c>
      <c r="H306" s="15" t="inlineStr">
        <is>
          <t>The Penguin's Birthday Party</t>
        </is>
      </c>
      <c r="I306" s="15" t="inlineStr">
        <is>
          <t>The Penguin's Birthday Party 🦁 | Animal Stories for Kids | Tiny Sparks</t>
        </is>
      </c>
      <c r="J306" s="15" t="inlineStr">
        <is>
          <t>3–5</t>
        </is>
      </c>
      <c r="K306" s="15" t="inlineStr">
        <is>
          <t>Long 16:9 + Short teaser</t>
        </is>
      </c>
      <c r="L306" s="15" t="inlineStr">
        <is>
          <t>3–5 min (Short: 50 s)</t>
        </is>
      </c>
      <c r="M306" s="15" t="inlineStr">
        <is>
          <t>guest animal(s) + Bobo</t>
        </is>
      </c>
      <c r="N306" s="15" t="inlineStr">
        <is>
          <t>Story + 3 true animal facts; value: friendship</t>
        </is>
      </c>
      <c r="O306" s="15" t="inlineStr">
        <is>
          <t>Build first: penguin</t>
        </is>
      </c>
      <c r="P306" s="15" t="inlineStr">
        <is>
          <t>P2</t>
        </is>
      </c>
      <c r="Q306" s="15" t="inlineStr">
        <is>
          <t>Idea</t>
        </is>
      </c>
      <c r="R306" s="48">
        <f>INDEX('Start Here'!$B$10:$B$16,WEEKDAY(C306,2))</f>
        <v/>
      </c>
      <c r="S306" s="48">
        <f>MOD(R306+'Start Here'!$B$6/24,1)</f>
        <v/>
      </c>
      <c r="T306" s="15" t="n"/>
      <c r="U306" s="15" t="n"/>
      <c r="V306" s="15" t="n"/>
      <c r="W306" s="15" t="n"/>
      <c r="X306" s="20" t="n"/>
      <c r="Y306" s="15" t="n"/>
    </row>
    <row r="307">
      <c r="A307" s="15" t="n">
        <v>306</v>
      </c>
      <c r="B307" s="16">
        <f>INT((A307-1)/7)+1</f>
        <v/>
      </c>
      <c r="C307" s="47">
        <f>'Start Here'!$B$5+A307-1</f>
        <v/>
      </c>
      <c r="D307" s="16">
        <f>TEXT(C307,"ddd")</f>
        <v/>
      </c>
      <c r="E307" s="15" t="inlineStr">
        <is>
          <t>Science Friday</t>
        </is>
      </c>
      <c r="F307" s="24" t="inlineStr">
        <is>
          <t>🚀 Science for Kids</t>
        </is>
      </c>
      <c r="G307" s="15" t="n">
        <v>44</v>
      </c>
      <c r="H307" s="15" t="inlineStr">
        <is>
          <t>How Do We Smell?</t>
        </is>
      </c>
      <c r="I307" s="15" t="inlineStr">
        <is>
          <t>How Do We Smell? 🚀 | Science for Kids | Tiny Sparks</t>
        </is>
      </c>
      <c r="J307" s="15" t="inlineStr">
        <is>
          <t>3–5</t>
        </is>
      </c>
      <c r="K307" s="15" t="inlineStr">
        <is>
          <t>Short 9:16</t>
        </is>
      </c>
      <c r="L307" s="15" t="inlineStr">
        <is>
          <t>45–60 s</t>
        </is>
      </c>
      <c r="M307" s="15" t="inlineStr">
        <is>
          <t>Prof. Hoot + Leo (wrong guess) + Mila</t>
        </is>
      </c>
      <c r="N307" s="15" t="inlineStr">
        <is>
          <t>Answer simply: How Do We Smell?</t>
        </is>
      </c>
      <c r="O307" s="15" t="inlineStr">
        <is>
          <t>Yes</t>
        </is>
      </c>
      <c r="P307" s="15" t="inlineStr">
        <is>
          <t>P2</t>
        </is>
      </c>
      <c r="Q307" s="15" t="inlineStr">
        <is>
          <t>Idea</t>
        </is>
      </c>
      <c r="R307" s="48">
        <f>INDEX('Start Here'!$B$10:$B$16,WEEKDAY(C307,2))</f>
        <v/>
      </c>
      <c r="S307" s="48">
        <f>MOD(R307+'Start Here'!$B$6/24,1)</f>
        <v/>
      </c>
      <c r="T307" s="15" t="n"/>
      <c r="U307" s="15" t="n"/>
      <c r="V307" s="15" t="n"/>
      <c r="W307" s="15" t="n"/>
      <c r="X307" s="20" t="n"/>
      <c r="Y307" s="15" t="n"/>
    </row>
    <row r="308">
      <c r="A308" s="15" t="n">
        <v>307</v>
      </c>
      <c r="B308" s="16">
        <f>INT((A308-1)/7)+1</f>
        <v/>
      </c>
      <c r="C308" s="47">
        <f>'Start Here'!$B$5+A308-1</f>
        <v/>
      </c>
      <c r="D308" s="16">
        <f>TEXT(C308,"ddd")</f>
        <v/>
      </c>
      <c r="E308" s="15" t="inlineStr">
        <is>
          <t>Puzzle Saturday</t>
        </is>
      </c>
      <c r="F308" s="25" t="inlineStr">
        <is>
          <t>🧩 Puzzles &amp; Problem-Solving</t>
        </is>
      </c>
      <c r="G308" s="15" t="n">
        <v>44</v>
      </c>
      <c r="H308" s="15" t="inlineStr">
        <is>
          <t>Complete the Animal Pattern</t>
        </is>
      </c>
      <c r="I308" s="15" t="inlineStr">
        <is>
          <t>Complete the Animal Pattern 🧩 | Brain Games for Kids | Tiny Sparks</t>
        </is>
      </c>
      <c r="J308" s="15" t="inlineStr">
        <is>
          <t>6–8</t>
        </is>
      </c>
      <c r="K308" s="15" t="inlineStr">
        <is>
          <t>Short 9:16</t>
        </is>
      </c>
      <c r="L308" s="15" t="inlineStr">
        <is>
          <t>45–60 s</t>
        </is>
      </c>
      <c r="M308" s="15" t="inlineStr">
        <is>
          <t>Prof. Hoot + Leo + score strip</t>
        </is>
      </c>
      <c r="N308" s="15" t="inlineStr">
        <is>
          <t>Thinking skill: patterns</t>
        </is>
      </c>
      <c r="O308" s="15" t="inlineStr">
        <is>
          <t>Yes</t>
        </is>
      </c>
      <c r="P308" s="15" t="inlineStr">
        <is>
          <t>P2</t>
        </is>
      </c>
      <c r="Q308" s="15" t="inlineStr">
        <is>
          <t>Idea</t>
        </is>
      </c>
      <c r="R308" s="48">
        <f>INDEX('Start Here'!$B$10:$B$16,WEEKDAY(C308,2))</f>
        <v/>
      </c>
      <c r="S308" s="48">
        <f>MOD(R308+'Start Here'!$B$6/24,1)</f>
        <v/>
      </c>
      <c r="T308" s="15" t="n"/>
      <c r="U308" s="15" t="n"/>
      <c r="V308" s="15" t="n"/>
      <c r="W308" s="15" t="n"/>
      <c r="X308" s="20" t="n"/>
      <c r="Y308" s="15" t="n"/>
    </row>
    <row r="309">
      <c r="A309" s="15" t="n">
        <v>308</v>
      </c>
      <c r="B309" s="16">
        <f>INT((A309-1)/7)+1</f>
        <v/>
      </c>
      <c r="C309" s="47">
        <f>'Start Here'!$B$5+A309-1</f>
        <v/>
      </c>
      <c r="D309" s="16">
        <f>TEXT(C309,"ddd")</f>
        <v/>
      </c>
      <c r="E309" s="15" t="inlineStr">
        <is>
          <t>Song Sunday</t>
        </is>
      </c>
      <c r="F309" s="26" t="inlineStr">
        <is>
          <t>🎵 Educational Songs</t>
        </is>
      </c>
      <c r="G309" s="15" t="n">
        <v>44</v>
      </c>
      <c r="H309" s="15" t="inlineStr">
        <is>
          <t>French Colors Song</t>
        </is>
      </c>
      <c r="I309" s="15" t="inlineStr">
        <is>
          <t>French Colors Song 🎵 | Kids Songs | Tiny Sparks</t>
        </is>
      </c>
      <c r="J309" s="15" t="inlineStr">
        <is>
          <t>3–5</t>
        </is>
      </c>
      <c r="K309" s="15" t="inlineStr">
        <is>
          <t>Long 16:9 + Short cut</t>
        </is>
      </c>
      <c r="L309" s="15" t="inlineStr">
        <is>
          <t>2–3 min (Short: 45 s chorus)</t>
        </is>
      </c>
      <c r="M309" s="15" t="inlineStr">
        <is>
          <t>Mila sings, all dance</t>
        </is>
      </c>
      <c r="N309" s="15" t="inlineStr">
        <is>
          <t>Sing &amp; learn: French Colors</t>
        </is>
      </c>
      <c r="O309" s="15" t="inlineStr">
        <is>
          <t>Yes</t>
        </is>
      </c>
      <c r="P309" s="15" t="inlineStr">
        <is>
          <t>P2</t>
        </is>
      </c>
      <c r="Q309" s="15" t="inlineStr">
        <is>
          <t>Idea</t>
        </is>
      </c>
      <c r="R309" s="48">
        <f>INDEX('Start Here'!$B$10:$B$16,WEEKDAY(C309,2))</f>
        <v/>
      </c>
      <c r="S309" s="48">
        <f>MOD(R309+'Start Here'!$B$6/24,1)</f>
        <v/>
      </c>
      <c r="T309" s="15" t="n"/>
      <c r="U309" s="15" t="n"/>
      <c r="V309" s="15" t="n"/>
      <c r="W309" s="15" t="n"/>
      <c r="X309" s="20" t="n"/>
      <c r="Y309" s="15" t="n"/>
    </row>
    <row r="310">
      <c r="A310" s="15" t="n">
        <v>309</v>
      </c>
      <c r="B310" s="16">
        <f>INT((A310-1)/7)+1</f>
        <v/>
      </c>
      <c r="C310" s="47">
        <f>'Start Here'!$B$5+A310-1</f>
        <v/>
      </c>
      <c r="D310" s="16">
        <f>TEXT(C310,"ddd")</f>
        <v/>
      </c>
      <c r="E310" s="15" t="inlineStr">
        <is>
          <t>Story Monday</t>
        </is>
      </c>
      <c r="F310" s="18" t="inlineStr">
        <is>
          <t>🧠 Educational Stories</t>
        </is>
      </c>
      <c r="G310" s="15" t="n">
        <v>23</v>
      </c>
      <c r="H310" s="15" t="inlineStr">
        <is>
          <t>Benny Learns to Eat Healthy Foods</t>
        </is>
      </c>
      <c r="I310" s="15" t="inlineStr">
        <is>
          <t>Bobo Learns to Eat Healthy Foods 🧠 | Kids Stories | Tiny Sparks</t>
        </is>
      </c>
      <c r="J310" s="15" t="inlineStr">
        <is>
          <t>3–5</t>
        </is>
      </c>
      <c r="K310" s="15" t="inlineStr">
        <is>
          <t>Long 16:9 + Short teaser</t>
        </is>
      </c>
      <c r="L310" s="15" t="inlineStr">
        <is>
          <t>3–5 min (Short: 50 s)</t>
        </is>
      </c>
      <c r="M310" s="15" t="inlineStr">
        <is>
          <t>Bobo (lead) · Mila, Leo, Bobo + narrator</t>
        </is>
      </c>
      <c r="N310" s="15" t="inlineStr">
        <is>
          <t>Life skill: Eat Healthy Foods</t>
        </is>
      </c>
      <c r="O310" s="15" t="inlineStr">
        <is>
          <t>Yes</t>
        </is>
      </c>
      <c r="P310" s="15" t="inlineStr">
        <is>
          <t>P2</t>
        </is>
      </c>
      <c r="Q310" s="15" t="inlineStr">
        <is>
          <t>Idea</t>
        </is>
      </c>
      <c r="R310" s="48">
        <f>INDEX('Start Here'!$B$10:$B$16,WEEKDAY(C310,2))</f>
        <v/>
      </c>
      <c r="S310" s="48">
        <f>MOD(R310+'Start Here'!$B$6/24,1)</f>
        <v/>
      </c>
      <c r="T310" s="15" t="n"/>
      <c r="U310" s="15" t="n"/>
      <c r="V310" s="15" t="n"/>
      <c r="W310" s="15" t="n"/>
      <c r="X310" s="20" t="n"/>
      <c r="Y310" s="15" t="n"/>
    </row>
    <row r="311">
      <c r="A311" s="15" t="n">
        <v>310</v>
      </c>
      <c r="B311" s="16">
        <f>INT((A311-1)/7)+1</f>
        <v/>
      </c>
      <c r="C311" s="47">
        <f>'Start Here'!$B$5+A311-1</f>
        <v/>
      </c>
      <c r="D311" s="16">
        <f>TEXT(C311,"ddd")</f>
        <v/>
      </c>
      <c r="E311" s="15" t="inlineStr">
        <is>
          <t>Math Tuesday</t>
        </is>
      </c>
      <c r="F311" s="21" t="inlineStr">
        <is>
          <t>🔢 Numbers &amp; Math</t>
        </is>
      </c>
      <c r="G311" s="15" t="n">
        <v>45</v>
      </c>
      <c r="H311" s="15" t="inlineStr">
        <is>
          <t>Subtraction 1–10</t>
        </is>
      </c>
      <c r="I311" s="15" t="inlineStr">
        <is>
          <t>Subtraction 1–10 🔢 | Learn Math for Kids | Tiny Sparks</t>
        </is>
      </c>
      <c r="J311" s="15" t="inlineStr">
        <is>
          <t>6–8</t>
        </is>
      </c>
      <c r="K311" s="15" t="inlineStr">
        <is>
          <t>Short 9:16</t>
        </is>
      </c>
      <c r="L311" s="15" t="inlineStr">
        <is>
          <t>45–60 s</t>
        </is>
      </c>
      <c r="M311" s="15" t="inlineStr">
        <is>
          <t>Bobo + Mila (counting fingers)</t>
        </is>
      </c>
      <c r="N311" s="15" t="inlineStr">
        <is>
          <t>Math: Subtraction 1–10</t>
        </is>
      </c>
      <c r="O311" s="15" t="inlineStr">
        <is>
          <t>Yes</t>
        </is>
      </c>
      <c r="P311" s="15" t="inlineStr">
        <is>
          <t>P2</t>
        </is>
      </c>
      <c r="Q311" s="15" t="inlineStr">
        <is>
          <t>Idea</t>
        </is>
      </c>
      <c r="R311" s="48">
        <f>INDEX('Start Here'!$B$10:$B$16,WEEKDAY(C311,2))</f>
        <v/>
      </c>
      <c r="S311" s="48">
        <f>MOD(R311+'Start Here'!$B$6/24,1)</f>
        <v/>
      </c>
      <c r="T311" s="15" t="n"/>
      <c r="U311" s="15" t="n"/>
      <c r="V311" s="15" t="n"/>
      <c r="W311" s="15" t="n"/>
      <c r="X311" s="20" t="n"/>
      <c r="Y311" s="15" t="n"/>
    </row>
    <row r="312">
      <c r="A312" s="15" t="n">
        <v>311</v>
      </c>
      <c r="B312" s="16">
        <f>INT((A312-1)/7)+1</f>
        <v/>
      </c>
      <c r="C312" s="47">
        <f>'Start Here'!$B$5+A312-1</f>
        <v/>
      </c>
      <c r="D312" s="16">
        <f>TEXT(C312,"ddd")</f>
        <v/>
      </c>
      <c r="E312" s="15" t="inlineStr">
        <is>
          <t>Word Wednesday</t>
        </is>
      </c>
      <c r="F312" s="22" t="inlineStr">
        <is>
          <t>🔤 English/French Words</t>
        </is>
      </c>
      <c r="G312" s="15" t="n">
        <v>45</v>
      </c>
      <c r="H312" s="15" t="inlineStr">
        <is>
          <t>Play, Read and Write</t>
        </is>
      </c>
      <c r="I312" s="15" t="inlineStr">
        <is>
          <t>Play, Read and Write 🔤 | Kids Vocabulary | Tiny Sparks</t>
        </is>
      </c>
      <c r="J312" s="15" t="inlineStr">
        <is>
          <t>3–5</t>
        </is>
      </c>
      <c r="K312" s="15" t="inlineStr">
        <is>
          <t>Short 9:16</t>
        </is>
      </c>
      <c r="L312" s="15" t="inlineStr">
        <is>
          <t>45–60 s</t>
        </is>
      </c>
      <c r="M312" s="15" t="inlineStr">
        <is>
          <t>Mila + French narrator</t>
        </is>
      </c>
      <c r="N312" s="15" t="inlineStr">
        <is>
          <t>Vocabulary EN→FR: Play, Read and Write</t>
        </is>
      </c>
      <c r="O312" s="15" t="inlineStr">
        <is>
          <t>Yes</t>
        </is>
      </c>
      <c r="P312" s="15" t="inlineStr">
        <is>
          <t>P2</t>
        </is>
      </c>
      <c r="Q312" s="15" t="inlineStr">
        <is>
          <t>Idea</t>
        </is>
      </c>
      <c r="R312" s="48">
        <f>INDEX('Start Here'!$B$10:$B$16,WEEKDAY(C312,2))</f>
        <v/>
      </c>
      <c r="S312" s="48">
        <f>MOD(R312+'Start Here'!$B$6/24,1)</f>
        <v/>
      </c>
      <c r="T312" s="15" t="n"/>
      <c r="U312" s="15" t="n"/>
      <c r="V312" s="15" t="n"/>
      <c r="W312" s="15" t="n"/>
      <c r="X312" s="20" t="n"/>
      <c r="Y312" s="15" t="n"/>
    </row>
    <row r="313">
      <c r="A313" s="15" t="n">
        <v>312</v>
      </c>
      <c r="B313" s="16">
        <f>INT((A313-1)/7)+1</f>
        <v/>
      </c>
      <c r="C313" s="47">
        <f>'Start Here'!$B$5+A313-1</f>
        <v/>
      </c>
      <c r="D313" s="16">
        <f>TEXT(C313,"ddd")</f>
        <v/>
      </c>
      <c r="E313" s="15" t="inlineStr">
        <is>
          <t>Animal Thursday</t>
        </is>
      </c>
      <c r="F313" s="23" t="inlineStr">
        <is>
          <t>🦁 Animal Stories</t>
        </is>
      </c>
      <c r="G313" s="15" t="n">
        <v>45</v>
      </c>
      <c r="H313" s="15" t="inlineStr">
        <is>
          <t>The Rabbit's Treasure Hunt</t>
        </is>
      </c>
      <c r="I313" s="15" t="inlineStr">
        <is>
          <t>The Rabbit's Treasure Hunt 🦁 | Animal Stories for Kids | Tiny Sparks</t>
        </is>
      </c>
      <c r="J313" s="15" t="inlineStr">
        <is>
          <t>3–5</t>
        </is>
      </c>
      <c r="K313" s="15" t="inlineStr">
        <is>
          <t>Long 16:9 + Short teaser</t>
        </is>
      </c>
      <c r="L313" s="15" t="inlineStr">
        <is>
          <t>3–5 min (Short: 50 s)</t>
        </is>
      </c>
      <c r="M313" s="15" t="inlineStr">
        <is>
          <t>guest animal(s) + Bobo</t>
        </is>
      </c>
      <c r="N313" s="15" t="inlineStr">
        <is>
          <t>Story + 3 true animal facts; value: what really matters</t>
        </is>
      </c>
      <c r="O313" s="15" t="inlineStr">
        <is>
          <t>Yes</t>
        </is>
      </c>
      <c r="P313" s="15" t="inlineStr">
        <is>
          <t>P2</t>
        </is>
      </c>
      <c r="Q313" s="15" t="inlineStr">
        <is>
          <t>Idea</t>
        </is>
      </c>
      <c r="R313" s="48">
        <f>INDEX('Start Here'!$B$10:$B$16,WEEKDAY(C313,2))</f>
        <v/>
      </c>
      <c r="S313" s="48">
        <f>MOD(R313+'Start Here'!$B$6/24,1)</f>
        <v/>
      </c>
      <c r="T313" s="15" t="n"/>
      <c r="U313" s="15" t="n"/>
      <c r="V313" s="15" t="n"/>
      <c r="W313" s="15" t="n"/>
      <c r="X313" s="20" t="n"/>
      <c r="Y313" s="15" t="n"/>
    </row>
    <row r="314">
      <c r="A314" s="15" t="n">
        <v>313</v>
      </c>
      <c r="B314" s="16">
        <f>INT((A314-1)/7)+1</f>
        <v/>
      </c>
      <c r="C314" s="47">
        <f>'Start Here'!$B$5+A314-1</f>
        <v/>
      </c>
      <c r="D314" s="16">
        <f>TEXT(C314,"ddd")</f>
        <v/>
      </c>
      <c r="E314" s="15" t="inlineStr">
        <is>
          <t>Science Friday</t>
        </is>
      </c>
      <c r="F314" s="24" t="inlineStr">
        <is>
          <t>🚀 Science for Kids</t>
        </is>
      </c>
      <c r="G314" s="15" t="n">
        <v>45</v>
      </c>
      <c r="H314" s="15" t="inlineStr">
        <is>
          <t>How Do We Taste?</t>
        </is>
      </c>
      <c r="I314" s="15" t="inlineStr">
        <is>
          <t>How Do We Taste? 🚀 | Science for Kids | Tiny Sparks</t>
        </is>
      </c>
      <c r="J314" s="15" t="inlineStr">
        <is>
          <t>3–5</t>
        </is>
      </c>
      <c r="K314" s="15" t="inlineStr">
        <is>
          <t>Short 9:16</t>
        </is>
      </c>
      <c r="L314" s="15" t="inlineStr">
        <is>
          <t>45–60 s</t>
        </is>
      </c>
      <c r="M314" s="15" t="inlineStr">
        <is>
          <t>Prof. Hoot + Leo (wrong guess) + Mila</t>
        </is>
      </c>
      <c r="N314" s="15" t="inlineStr">
        <is>
          <t>Answer simply: How Do We Taste?</t>
        </is>
      </c>
      <c r="O314" s="15" t="inlineStr">
        <is>
          <t>Yes</t>
        </is>
      </c>
      <c r="P314" s="15" t="inlineStr">
        <is>
          <t>P2</t>
        </is>
      </c>
      <c r="Q314" s="15" t="inlineStr">
        <is>
          <t>Idea</t>
        </is>
      </c>
      <c r="R314" s="48">
        <f>INDEX('Start Here'!$B$10:$B$16,WEEKDAY(C314,2))</f>
        <v/>
      </c>
      <c r="S314" s="48">
        <f>MOD(R314+'Start Here'!$B$6/24,1)</f>
        <v/>
      </c>
      <c r="T314" s="15" t="n"/>
      <c r="U314" s="15" t="n"/>
      <c r="V314" s="15" t="n"/>
      <c r="W314" s="15" t="n"/>
      <c r="X314" s="20" t="n"/>
      <c r="Y314" s="15" t="n"/>
    </row>
    <row r="315">
      <c r="A315" s="15" t="n">
        <v>314</v>
      </c>
      <c r="B315" s="16">
        <f>INT((A315-1)/7)+1</f>
        <v/>
      </c>
      <c r="C315" s="47">
        <f>'Start Here'!$B$5+A315-1</f>
        <v/>
      </c>
      <c r="D315" s="16">
        <f>TEXT(C315,"ddd")</f>
        <v/>
      </c>
      <c r="E315" s="15" t="inlineStr">
        <is>
          <t>Puzzle Saturday</t>
        </is>
      </c>
      <c r="F315" s="25" t="inlineStr">
        <is>
          <t>🧩 Puzzles &amp; Problem-Solving</t>
        </is>
      </c>
      <c r="G315" s="15" t="n">
        <v>45</v>
      </c>
      <c r="H315" s="15" t="inlineStr">
        <is>
          <t>Complete the Object Pattern</t>
        </is>
      </c>
      <c r="I315" s="15" t="inlineStr">
        <is>
          <t>Complete the Object Pattern 🧩 | Brain Games for Kids | Tiny Sparks</t>
        </is>
      </c>
      <c r="J315" s="15" t="inlineStr">
        <is>
          <t>6–8</t>
        </is>
      </c>
      <c r="K315" s="15" t="inlineStr">
        <is>
          <t>Short 9:16</t>
        </is>
      </c>
      <c r="L315" s="15" t="inlineStr">
        <is>
          <t>45–60 s</t>
        </is>
      </c>
      <c r="M315" s="15" t="inlineStr">
        <is>
          <t>Prof. Hoot + Leo + score strip</t>
        </is>
      </c>
      <c r="N315" s="15" t="inlineStr">
        <is>
          <t>Thinking skill: patterns</t>
        </is>
      </c>
      <c r="O315" s="15" t="inlineStr">
        <is>
          <t>Yes</t>
        </is>
      </c>
      <c r="P315" s="15" t="inlineStr">
        <is>
          <t>P2</t>
        </is>
      </c>
      <c r="Q315" s="15" t="inlineStr">
        <is>
          <t>Idea</t>
        </is>
      </c>
      <c r="R315" s="48">
        <f>INDEX('Start Here'!$B$10:$B$16,WEEKDAY(C315,2))</f>
        <v/>
      </c>
      <c r="S315" s="48">
        <f>MOD(R315+'Start Here'!$B$6/24,1)</f>
        <v/>
      </c>
      <c r="T315" s="15" t="n"/>
      <c r="U315" s="15" t="n"/>
      <c r="V315" s="15" t="n"/>
      <c r="W315" s="15" t="n"/>
      <c r="X315" s="20" t="n"/>
      <c r="Y315" s="15" t="n"/>
    </row>
    <row r="316">
      <c r="A316" s="15" t="n">
        <v>315</v>
      </c>
      <c r="B316" s="16">
        <f>INT((A316-1)/7)+1</f>
        <v/>
      </c>
      <c r="C316" s="47">
        <f>'Start Here'!$B$5+A316-1</f>
        <v/>
      </c>
      <c r="D316" s="16">
        <f>TEXT(C316,"ddd")</f>
        <v/>
      </c>
      <c r="E316" s="15" t="inlineStr">
        <is>
          <t>Song Sunday</t>
        </is>
      </c>
      <c r="F316" s="26" t="inlineStr">
        <is>
          <t>🎵 Educational Songs</t>
        </is>
      </c>
      <c r="G316" s="15" t="n">
        <v>45</v>
      </c>
      <c r="H316" s="15" t="inlineStr">
        <is>
          <t>English Numbers Song</t>
        </is>
      </c>
      <c r="I316" s="15" t="inlineStr">
        <is>
          <t>English Numbers Song 🎵 | Kids Songs | Tiny Sparks</t>
        </is>
      </c>
      <c r="J316" s="15" t="inlineStr">
        <is>
          <t>3–5</t>
        </is>
      </c>
      <c r="K316" s="15" t="inlineStr">
        <is>
          <t>Long 16:9 + Short cut</t>
        </is>
      </c>
      <c r="L316" s="15" t="inlineStr">
        <is>
          <t>2–3 min (Short: 45 s chorus)</t>
        </is>
      </c>
      <c r="M316" s="15" t="inlineStr">
        <is>
          <t>Mila sings, all dance</t>
        </is>
      </c>
      <c r="N316" s="15" t="inlineStr">
        <is>
          <t>Sing &amp; learn: English Numbers</t>
        </is>
      </c>
      <c r="O316" s="15" t="inlineStr">
        <is>
          <t>Yes</t>
        </is>
      </c>
      <c r="P316" s="15" t="inlineStr">
        <is>
          <t>P2</t>
        </is>
      </c>
      <c r="Q316" s="15" t="inlineStr">
        <is>
          <t>Idea</t>
        </is>
      </c>
      <c r="R316" s="48">
        <f>INDEX('Start Here'!$B$10:$B$16,WEEKDAY(C316,2))</f>
        <v/>
      </c>
      <c r="S316" s="48">
        <f>MOD(R316+'Start Here'!$B$6/24,1)</f>
        <v/>
      </c>
      <c r="T316" s="15" t="n"/>
      <c r="U316" s="15" t="n"/>
      <c r="V316" s="15" t="n"/>
      <c r="W316" s="15" t="n"/>
      <c r="X316" s="20" t="n"/>
      <c r="Y316" s="15" t="n"/>
    </row>
    <row r="317">
      <c r="A317" s="15" t="n">
        <v>316</v>
      </c>
      <c r="B317" s="16">
        <f>INT((A317-1)/7)+1</f>
        <v/>
      </c>
      <c r="C317" s="47">
        <f>'Start Here'!$B$5+A317-1</f>
        <v/>
      </c>
      <c r="D317" s="16">
        <f>TEXT(C317,"ddd")</f>
        <v/>
      </c>
      <c r="E317" s="15" t="inlineStr">
        <is>
          <t>Story Monday</t>
        </is>
      </c>
      <c r="F317" s="27" t="inlineStr">
        <is>
          <t>📚 Moral Stories</t>
        </is>
      </c>
      <c r="G317" s="15" t="n">
        <v>23</v>
      </c>
      <c r="H317" s="15" t="inlineStr">
        <is>
          <t>The Magic Word "Please"</t>
        </is>
      </c>
      <c r="I317" s="15" t="inlineStr">
        <is>
          <t>The Magic Word "Please" 📚 | Moral Stories for Kids | Tiny Sparks</t>
        </is>
      </c>
      <c r="J317" s="15" t="inlineStr">
        <is>
          <t>3–5</t>
        </is>
      </c>
      <c r="K317" s="15" t="inlineStr">
        <is>
          <t>Long 16:9 + Short teaser</t>
        </is>
      </c>
      <c r="L317" s="15" t="inlineStr">
        <is>
          <t>3–5 min (Short: 50 s)</t>
        </is>
      </c>
      <c r="M317" s="15" t="inlineStr">
        <is>
          <t>narrator + guest animals / Mila &amp; Leo</t>
        </is>
      </c>
      <c r="N317" s="15" t="inlineStr">
        <is>
          <t>Value: politeness</t>
        </is>
      </c>
      <c r="O317" s="15" t="inlineStr">
        <is>
          <t>Yes</t>
        </is>
      </c>
      <c r="P317" s="15" t="inlineStr">
        <is>
          <t>P2</t>
        </is>
      </c>
      <c r="Q317" s="15" t="inlineStr">
        <is>
          <t>Idea</t>
        </is>
      </c>
      <c r="R317" s="48">
        <f>INDEX('Start Here'!$B$10:$B$16,WEEKDAY(C317,2))</f>
        <v/>
      </c>
      <c r="S317" s="48">
        <f>MOD(R317+'Start Here'!$B$6/24,1)</f>
        <v/>
      </c>
      <c r="T317" s="15" t="n"/>
      <c r="U317" s="15" t="n"/>
      <c r="V317" s="15" t="n"/>
      <c r="W317" s="15" t="n"/>
      <c r="X317" s="20" t="n"/>
      <c r="Y317" s="15" t="n"/>
    </row>
    <row r="318">
      <c r="A318" s="15" t="n">
        <v>317</v>
      </c>
      <c r="B318" s="16">
        <f>INT((A318-1)/7)+1</f>
        <v/>
      </c>
      <c r="C318" s="47">
        <f>'Start Here'!$B$5+A318-1</f>
        <v/>
      </c>
      <c r="D318" s="16">
        <f>TEXT(C318,"ddd")</f>
        <v/>
      </c>
      <c r="E318" s="15" t="inlineStr">
        <is>
          <t>Math Tuesday</t>
        </is>
      </c>
      <c r="F318" s="21" t="inlineStr">
        <is>
          <t>🔢 Numbers &amp; Math</t>
        </is>
      </c>
      <c r="G318" s="15" t="n">
        <v>46</v>
      </c>
      <c r="H318" s="15" t="inlineStr">
        <is>
          <t>Subtraction 1–20</t>
        </is>
      </c>
      <c r="I318" s="15" t="inlineStr">
        <is>
          <t>Subtraction 1–20 🔢 | Learn Math for Kids | Tiny Sparks</t>
        </is>
      </c>
      <c r="J318" s="15" t="inlineStr">
        <is>
          <t>6–8</t>
        </is>
      </c>
      <c r="K318" s="15" t="inlineStr">
        <is>
          <t>Short 9:16</t>
        </is>
      </c>
      <c r="L318" s="15" t="inlineStr">
        <is>
          <t>45–60 s</t>
        </is>
      </c>
      <c r="M318" s="15" t="inlineStr">
        <is>
          <t>Bobo + Mila (counting fingers)</t>
        </is>
      </c>
      <c r="N318" s="15" t="inlineStr">
        <is>
          <t>Math: Subtraction 1–20</t>
        </is>
      </c>
      <c r="O318" s="15" t="inlineStr">
        <is>
          <t>Yes</t>
        </is>
      </c>
      <c r="P318" s="15" t="inlineStr">
        <is>
          <t>P2</t>
        </is>
      </c>
      <c r="Q318" s="15" t="inlineStr">
        <is>
          <t>Idea</t>
        </is>
      </c>
      <c r="R318" s="48">
        <f>INDEX('Start Here'!$B$10:$B$16,WEEKDAY(C318,2))</f>
        <v/>
      </c>
      <c r="S318" s="48">
        <f>MOD(R318+'Start Here'!$B$6/24,1)</f>
        <v/>
      </c>
      <c r="T318" s="15" t="n"/>
      <c r="U318" s="15" t="n"/>
      <c r="V318" s="15" t="n"/>
      <c r="W318" s="15" t="n"/>
      <c r="X318" s="20" t="n"/>
      <c r="Y318" s="15" t="n"/>
    </row>
    <row r="319">
      <c r="A319" s="15" t="n">
        <v>318</v>
      </c>
      <c r="B319" s="16">
        <f>INT((A319-1)/7)+1</f>
        <v/>
      </c>
      <c r="C319" s="47">
        <f>'Start Here'!$B$5+A319-1</f>
        <v/>
      </c>
      <c r="D319" s="16">
        <f>TEXT(C319,"ddd")</f>
        <v/>
      </c>
      <c r="E319" s="15" t="inlineStr">
        <is>
          <t>Word Wednesday</t>
        </is>
      </c>
      <c r="F319" s="22" t="inlineStr">
        <is>
          <t>🔤 English/French Words</t>
        </is>
      </c>
      <c r="G319" s="15" t="n">
        <v>46</v>
      </c>
      <c r="H319" s="15" t="inlineStr">
        <is>
          <t>Common School Verbs</t>
        </is>
      </c>
      <c r="I319" s="15" t="inlineStr">
        <is>
          <t>Common School Verbs 🔤 | Kids Vocabulary | Tiny Sparks</t>
        </is>
      </c>
      <c r="J319" s="15" t="inlineStr">
        <is>
          <t>6–8</t>
        </is>
      </c>
      <c r="K319" s="15" t="inlineStr">
        <is>
          <t>Short 9:16</t>
        </is>
      </c>
      <c r="L319" s="15" t="inlineStr">
        <is>
          <t>45–60 s</t>
        </is>
      </c>
      <c r="M319" s="15" t="inlineStr">
        <is>
          <t>Mila + French narrator</t>
        </is>
      </c>
      <c r="N319" s="15" t="inlineStr">
        <is>
          <t>Vocabulary EN→FR: Common School Verbs</t>
        </is>
      </c>
      <c r="O319" s="15" t="inlineStr">
        <is>
          <t>Yes</t>
        </is>
      </c>
      <c r="P319" s="15" t="inlineStr">
        <is>
          <t>P2</t>
        </is>
      </c>
      <c r="Q319" s="15" t="inlineStr">
        <is>
          <t>Idea</t>
        </is>
      </c>
      <c r="R319" s="48">
        <f>INDEX('Start Here'!$B$10:$B$16,WEEKDAY(C319,2))</f>
        <v/>
      </c>
      <c r="S319" s="48">
        <f>MOD(R319+'Start Here'!$B$6/24,1)</f>
        <v/>
      </c>
      <c r="T319" s="15" t="n"/>
      <c r="U319" s="15" t="n"/>
      <c r="V319" s="15" t="n"/>
      <c r="W319" s="15" t="n"/>
      <c r="X319" s="20" t="n"/>
      <c r="Y319" s="15" t="n"/>
    </row>
    <row r="320">
      <c r="A320" s="15" t="n">
        <v>319</v>
      </c>
      <c r="B320" s="16">
        <f>INT((A320-1)/7)+1</f>
        <v/>
      </c>
      <c r="C320" s="47">
        <f>'Start Here'!$B$5+A320-1</f>
        <v/>
      </c>
      <c r="D320" s="16">
        <f>TEXT(C320,"ddd")</f>
        <v/>
      </c>
      <c r="E320" s="15" t="inlineStr">
        <is>
          <t>Animal Thursday</t>
        </is>
      </c>
      <c r="F320" s="23" t="inlineStr">
        <is>
          <t>🦁 Animal Stories</t>
        </is>
      </c>
      <c r="G320" s="15" t="n">
        <v>46</v>
      </c>
      <c r="H320" s="15" t="inlineStr">
        <is>
          <t>The Fox's Mystery Box</t>
        </is>
      </c>
      <c r="I320" s="15" t="inlineStr">
        <is>
          <t>The Fox's Mystery Box 🦁 | Animal Stories for Kids | Tiny Sparks</t>
        </is>
      </c>
      <c r="J320" s="15" t="inlineStr">
        <is>
          <t>3–5</t>
        </is>
      </c>
      <c r="K320" s="15" t="inlineStr">
        <is>
          <t>Long 16:9 + Short teaser</t>
        </is>
      </c>
      <c r="L320" s="15" t="inlineStr">
        <is>
          <t>3–5 min (Short: 50 s)</t>
        </is>
      </c>
      <c r="M320" s="15" t="inlineStr">
        <is>
          <t>guest animal(s) + Bobo</t>
        </is>
      </c>
      <c r="N320" s="15" t="inlineStr">
        <is>
          <t>Story + 3 true animal facts; value: friendship</t>
        </is>
      </c>
      <c r="O320" s="15" t="inlineStr">
        <is>
          <t>Yes</t>
        </is>
      </c>
      <c r="P320" s="15" t="inlineStr">
        <is>
          <t>P2</t>
        </is>
      </c>
      <c r="Q320" s="15" t="inlineStr">
        <is>
          <t>Idea</t>
        </is>
      </c>
      <c r="R320" s="48">
        <f>INDEX('Start Here'!$B$10:$B$16,WEEKDAY(C320,2))</f>
        <v/>
      </c>
      <c r="S320" s="48">
        <f>MOD(R320+'Start Here'!$B$6/24,1)</f>
        <v/>
      </c>
      <c r="T320" s="15" t="n"/>
      <c r="U320" s="15" t="n"/>
      <c r="V320" s="15" t="n"/>
      <c r="W320" s="15" t="n"/>
      <c r="X320" s="20" t="n"/>
      <c r="Y320" s="15" t="n"/>
    </row>
    <row r="321">
      <c r="A321" s="15" t="n">
        <v>320</v>
      </c>
      <c r="B321" s="16">
        <f>INT((A321-1)/7)+1</f>
        <v/>
      </c>
      <c r="C321" s="47">
        <f>'Start Here'!$B$5+A321-1</f>
        <v/>
      </c>
      <c r="D321" s="16">
        <f>TEXT(C321,"ddd")</f>
        <v/>
      </c>
      <c r="E321" s="15" t="inlineStr">
        <is>
          <t>Science Friday</t>
        </is>
      </c>
      <c r="F321" s="24" t="inlineStr">
        <is>
          <t>🚀 Science for Kids</t>
        </is>
      </c>
      <c r="G321" s="15" t="n">
        <v>46</v>
      </c>
      <c r="H321" s="15" t="inlineStr">
        <is>
          <t>How Do We Breathe?</t>
        </is>
      </c>
      <c r="I321" s="15" t="inlineStr">
        <is>
          <t>How Do We Breathe? 🚀 | Science for Kids | Tiny Sparks</t>
        </is>
      </c>
      <c r="J321" s="15" t="inlineStr">
        <is>
          <t>3–5</t>
        </is>
      </c>
      <c r="K321" s="15" t="inlineStr">
        <is>
          <t>Short 9:16</t>
        </is>
      </c>
      <c r="L321" s="15" t="inlineStr">
        <is>
          <t>45–60 s</t>
        </is>
      </c>
      <c r="M321" s="15" t="inlineStr">
        <is>
          <t>Prof. Hoot + Leo (wrong guess) + Mila</t>
        </is>
      </c>
      <c r="N321" s="15" t="inlineStr">
        <is>
          <t>Answer simply: How Do We Breathe?</t>
        </is>
      </c>
      <c r="O321" s="15" t="inlineStr">
        <is>
          <t>Yes</t>
        </is>
      </c>
      <c r="P321" s="15" t="inlineStr">
        <is>
          <t>P2</t>
        </is>
      </c>
      <c r="Q321" s="15" t="inlineStr">
        <is>
          <t>Idea</t>
        </is>
      </c>
      <c r="R321" s="48">
        <f>INDEX('Start Here'!$B$10:$B$16,WEEKDAY(C321,2))</f>
        <v/>
      </c>
      <c r="S321" s="48">
        <f>MOD(R321+'Start Here'!$B$6/24,1)</f>
        <v/>
      </c>
      <c r="T321" s="15" t="n"/>
      <c r="U321" s="15" t="n"/>
      <c r="V321" s="15" t="n"/>
      <c r="W321" s="15" t="n"/>
      <c r="X321" s="20" t="n"/>
      <c r="Y321" s="15" t="n"/>
    </row>
    <row r="322">
      <c r="A322" s="15" t="n">
        <v>321</v>
      </c>
      <c r="B322" s="16">
        <f>INT((A322-1)/7)+1</f>
        <v/>
      </c>
      <c r="C322" s="47">
        <f>'Start Here'!$B$5+A322-1</f>
        <v/>
      </c>
      <c r="D322" s="16">
        <f>TEXT(C322,"ddd")</f>
        <v/>
      </c>
      <c r="E322" s="15" t="inlineStr">
        <is>
          <t>Puzzle Saturday</t>
        </is>
      </c>
      <c r="F322" s="25" t="inlineStr">
        <is>
          <t>🧩 Puzzles &amp; Problem-Solving</t>
        </is>
      </c>
      <c r="G322" s="15" t="n">
        <v>46</v>
      </c>
      <c r="H322" s="15" t="inlineStr">
        <is>
          <t>What Comes Next?</t>
        </is>
      </c>
      <c r="I322" s="15" t="inlineStr">
        <is>
          <t>What Comes Next? 🧩 | Brain Games for Kids | Tiny Sparks</t>
        </is>
      </c>
      <c r="J322" s="15" t="inlineStr">
        <is>
          <t>3–5</t>
        </is>
      </c>
      <c r="K322" s="15" t="inlineStr">
        <is>
          <t>Short 9:16</t>
        </is>
      </c>
      <c r="L322" s="15" t="inlineStr">
        <is>
          <t>45–60 s</t>
        </is>
      </c>
      <c r="M322" s="15" t="inlineStr">
        <is>
          <t>Prof. Hoot + Leo + score strip</t>
        </is>
      </c>
      <c r="N322" s="15" t="inlineStr">
        <is>
          <t>Thinking skill: patterns</t>
        </is>
      </c>
      <c r="O322" s="15" t="inlineStr">
        <is>
          <t>Yes</t>
        </is>
      </c>
      <c r="P322" s="15" t="inlineStr">
        <is>
          <t>P2</t>
        </is>
      </c>
      <c r="Q322" s="15" t="inlineStr">
        <is>
          <t>Idea</t>
        </is>
      </c>
      <c r="R322" s="48">
        <f>INDEX('Start Here'!$B$10:$B$16,WEEKDAY(C322,2))</f>
        <v/>
      </c>
      <c r="S322" s="48">
        <f>MOD(R322+'Start Here'!$B$6/24,1)</f>
        <v/>
      </c>
      <c r="T322" s="15" t="n"/>
      <c r="U322" s="15" t="n"/>
      <c r="V322" s="15" t="n"/>
      <c r="W322" s="15" t="n"/>
      <c r="X322" s="20" t="n"/>
      <c r="Y322" s="15" t="n"/>
    </row>
    <row r="323">
      <c r="A323" s="15" t="n">
        <v>322</v>
      </c>
      <c r="B323" s="16">
        <f>INT((A323-1)/7)+1</f>
        <v/>
      </c>
      <c r="C323" s="47">
        <f>'Start Here'!$B$5+A323-1</f>
        <v/>
      </c>
      <c r="D323" s="16">
        <f>TEXT(C323,"ddd")</f>
        <v/>
      </c>
      <c r="E323" s="15" t="inlineStr">
        <is>
          <t>Song Sunday</t>
        </is>
      </c>
      <c r="F323" s="26" t="inlineStr">
        <is>
          <t>🎵 Educational Songs</t>
        </is>
      </c>
      <c r="G323" s="15" t="n">
        <v>46</v>
      </c>
      <c r="H323" s="15" t="inlineStr">
        <is>
          <t>French Numbers Song</t>
        </is>
      </c>
      <c r="I323" s="15" t="inlineStr">
        <is>
          <t>French Numbers Song 🎵 | Kids Songs | Tiny Sparks</t>
        </is>
      </c>
      <c r="J323" s="15" t="inlineStr">
        <is>
          <t>3–5</t>
        </is>
      </c>
      <c r="K323" s="15" t="inlineStr">
        <is>
          <t>Long 16:9 + Short cut</t>
        </is>
      </c>
      <c r="L323" s="15" t="inlineStr">
        <is>
          <t>2–3 min (Short: 45 s chorus)</t>
        </is>
      </c>
      <c r="M323" s="15" t="inlineStr">
        <is>
          <t>Mila sings, all dance</t>
        </is>
      </c>
      <c r="N323" s="15" t="inlineStr">
        <is>
          <t>Sing &amp; learn: French Numbers</t>
        </is>
      </c>
      <c r="O323" s="15" t="inlineStr">
        <is>
          <t>Yes</t>
        </is>
      </c>
      <c r="P323" s="15" t="inlineStr">
        <is>
          <t>P2</t>
        </is>
      </c>
      <c r="Q323" s="15" t="inlineStr">
        <is>
          <t>Idea</t>
        </is>
      </c>
      <c r="R323" s="48">
        <f>INDEX('Start Here'!$B$10:$B$16,WEEKDAY(C323,2))</f>
        <v/>
      </c>
      <c r="S323" s="48">
        <f>MOD(R323+'Start Here'!$B$6/24,1)</f>
        <v/>
      </c>
      <c r="T323" s="15" t="n"/>
      <c r="U323" s="15" t="n"/>
      <c r="V323" s="15" t="n"/>
      <c r="W323" s="15" t="n"/>
      <c r="X323" s="20" t="n"/>
      <c r="Y323" s="15" t="n"/>
    </row>
    <row r="324">
      <c r="A324" s="15" t="n">
        <v>323</v>
      </c>
      <c r="B324" s="16">
        <f>INT((A324-1)/7)+1</f>
        <v/>
      </c>
      <c r="C324" s="47">
        <f>'Start Here'!$B$5+A324-1</f>
        <v/>
      </c>
      <c r="D324" s="16">
        <f>TEXT(C324,"ddd")</f>
        <v/>
      </c>
      <c r="E324" s="15" t="inlineStr">
        <is>
          <t>Story Monday</t>
        </is>
      </c>
      <c r="F324" s="18" t="inlineStr">
        <is>
          <t>🧠 Educational Stories</t>
        </is>
      </c>
      <c r="G324" s="15" t="n">
        <v>24</v>
      </c>
      <c r="H324" s="15" t="inlineStr">
        <is>
          <t>Mia Learns About Personal Hygiene</t>
        </is>
      </c>
      <c r="I324" s="15" t="inlineStr">
        <is>
          <t>Mila Learns About Personal Hygiene 🧠 | Kids Stories | Tiny Sparks</t>
        </is>
      </c>
      <c r="J324" s="15" t="inlineStr">
        <is>
          <t>3–5</t>
        </is>
      </c>
      <c r="K324" s="15" t="inlineStr">
        <is>
          <t>Long 16:9 + Short teaser</t>
        </is>
      </c>
      <c r="L324" s="15" t="inlineStr">
        <is>
          <t>3–5 min (Short: 50 s)</t>
        </is>
      </c>
      <c r="M324" s="15" t="inlineStr">
        <is>
          <t>Mila (lead) · Mila, Leo, Bobo + narrator</t>
        </is>
      </c>
      <c r="N324" s="15" t="inlineStr">
        <is>
          <t>Life skill: Personal Hygiene</t>
        </is>
      </c>
      <c r="O324" s="15" t="inlineStr">
        <is>
          <t>Yes</t>
        </is>
      </c>
      <c r="P324" s="15" t="inlineStr">
        <is>
          <t>P2</t>
        </is>
      </c>
      <c r="Q324" s="15" t="inlineStr">
        <is>
          <t>Idea</t>
        </is>
      </c>
      <c r="R324" s="48">
        <f>INDEX('Start Here'!$B$10:$B$16,WEEKDAY(C324,2))</f>
        <v/>
      </c>
      <c r="S324" s="48">
        <f>MOD(R324+'Start Here'!$B$6/24,1)</f>
        <v/>
      </c>
      <c r="T324" s="15" t="n"/>
      <c r="U324" s="15" t="n"/>
      <c r="V324" s="15" t="n"/>
      <c r="W324" s="15" t="n"/>
      <c r="X324" s="20" t="n"/>
      <c r="Y324" s="15" t="n"/>
    </row>
    <row r="325">
      <c r="A325" s="15" t="n">
        <v>324</v>
      </c>
      <c r="B325" s="16">
        <f>INT((A325-1)/7)+1</f>
        <v/>
      </c>
      <c r="C325" s="47">
        <f>'Start Here'!$B$5+A325-1</f>
        <v/>
      </c>
      <c r="D325" s="16">
        <f>TEXT(C325,"ddd")</f>
        <v/>
      </c>
      <c r="E325" s="15" t="inlineStr">
        <is>
          <t>Math Tuesday</t>
        </is>
      </c>
      <c r="F325" s="21" t="inlineStr">
        <is>
          <t>🔢 Numbers &amp; Math</t>
        </is>
      </c>
      <c r="G325" s="15" t="n">
        <v>47</v>
      </c>
      <c r="H325" s="15" t="inlineStr">
        <is>
          <t>Addition and Subtraction Game</t>
        </is>
      </c>
      <c r="I325" s="15" t="inlineStr">
        <is>
          <t>Addition and Subtraction Game 🔢 | Learn Math for Kids | Tiny Sparks</t>
        </is>
      </c>
      <c r="J325" s="15" t="inlineStr">
        <is>
          <t>6–8</t>
        </is>
      </c>
      <c r="K325" s="15" t="inlineStr">
        <is>
          <t>Short 9:16</t>
        </is>
      </c>
      <c r="L325" s="15" t="inlineStr">
        <is>
          <t>45–60 s</t>
        </is>
      </c>
      <c r="M325" s="15" t="inlineStr">
        <is>
          <t>Bobo + Mila (counting fingers)</t>
        </is>
      </c>
      <c r="N325" s="15" t="inlineStr">
        <is>
          <t>Math: Addition and Subtraction Game</t>
        </is>
      </c>
      <c r="O325" s="15" t="inlineStr">
        <is>
          <t>Yes</t>
        </is>
      </c>
      <c r="P325" s="15" t="inlineStr">
        <is>
          <t>P2</t>
        </is>
      </c>
      <c r="Q325" s="15" t="inlineStr">
        <is>
          <t>Idea</t>
        </is>
      </c>
      <c r="R325" s="48">
        <f>INDEX('Start Here'!$B$10:$B$16,WEEKDAY(C325,2))</f>
        <v/>
      </c>
      <c r="S325" s="48">
        <f>MOD(R325+'Start Here'!$B$6/24,1)</f>
        <v/>
      </c>
      <c r="T325" s="15" t="n"/>
      <c r="U325" s="15" t="n"/>
      <c r="V325" s="15" t="n"/>
      <c r="W325" s="15" t="n"/>
      <c r="X325" s="20" t="n"/>
      <c r="Y325" s="15" t="n"/>
    </row>
    <row r="326">
      <c r="A326" s="15" t="n">
        <v>325</v>
      </c>
      <c r="B326" s="16">
        <f>INT((A326-1)/7)+1</f>
        <v/>
      </c>
      <c r="C326" s="47">
        <f>'Start Here'!$B$5+A326-1</f>
        <v/>
      </c>
      <c r="D326" s="16">
        <f>TEXT(C326,"ddd")</f>
        <v/>
      </c>
      <c r="E326" s="15" t="inlineStr">
        <is>
          <t>Word Wednesday</t>
        </is>
      </c>
      <c r="F326" s="22" t="inlineStr">
        <is>
          <t>🔤 English/French Words</t>
        </is>
      </c>
      <c r="G326" s="15" t="n">
        <v>47</v>
      </c>
      <c r="H326" s="15" t="inlineStr">
        <is>
          <t>Common Home Verbs</t>
        </is>
      </c>
      <c r="I326" s="15" t="inlineStr">
        <is>
          <t>Common Home Verbs 🔤 | Kids Vocabulary | Tiny Sparks</t>
        </is>
      </c>
      <c r="J326" s="15" t="inlineStr">
        <is>
          <t>6–8</t>
        </is>
      </c>
      <c r="K326" s="15" t="inlineStr">
        <is>
          <t>Short 9:16</t>
        </is>
      </c>
      <c r="L326" s="15" t="inlineStr">
        <is>
          <t>45–60 s</t>
        </is>
      </c>
      <c r="M326" s="15" t="inlineStr">
        <is>
          <t>Mila + French narrator</t>
        </is>
      </c>
      <c r="N326" s="15" t="inlineStr">
        <is>
          <t>Vocabulary EN→FR: Common Home Verbs</t>
        </is>
      </c>
      <c r="O326" s="15" t="inlineStr">
        <is>
          <t>Yes</t>
        </is>
      </c>
      <c r="P326" s="15" t="inlineStr">
        <is>
          <t>P2</t>
        </is>
      </c>
      <c r="Q326" s="15" t="inlineStr">
        <is>
          <t>Idea</t>
        </is>
      </c>
      <c r="R326" s="48">
        <f>INDEX('Start Here'!$B$10:$B$16,WEEKDAY(C326,2))</f>
        <v/>
      </c>
      <c r="S326" s="48">
        <f>MOD(R326+'Start Here'!$B$6/24,1)</f>
        <v/>
      </c>
      <c r="T326" s="15" t="n"/>
      <c r="U326" s="15" t="n"/>
      <c r="V326" s="15" t="n"/>
      <c r="W326" s="15" t="n"/>
      <c r="X326" s="20" t="n"/>
      <c r="Y326" s="15" t="n"/>
    </row>
    <row r="327">
      <c r="A327" s="15" t="n">
        <v>326</v>
      </c>
      <c r="B327" s="16">
        <f>INT((A327-1)/7)+1</f>
        <v/>
      </c>
      <c r="C327" s="47">
        <f>'Start Here'!$B$5+A327-1</f>
        <v/>
      </c>
      <c r="D327" s="16">
        <f>TEXT(C327,"ddd")</f>
        <v/>
      </c>
      <c r="E327" s="15" t="inlineStr">
        <is>
          <t>Animal Thursday</t>
        </is>
      </c>
      <c r="F327" s="23" t="inlineStr">
        <is>
          <t>🦁 Animal Stories</t>
        </is>
      </c>
      <c r="G327" s="15" t="n">
        <v>47</v>
      </c>
      <c r="H327" s="15" t="inlineStr">
        <is>
          <t>The Bear's Lost Backpack</t>
        </is>
      </c>
      <c r="I327" s="15" t="inlineStr">
        <is>
          <t>The Bear's Lost Backpack 🦁 | Animal Stories for Kids | Tiny Sparks</t>
        </is>
      </c>
      <c r="J327" s="15" t="inlineStr">
        <is>
          <t>3–5</t>
        </is>
      </c>
      <c r="K327" s="15" t="inlineStr">
        <is>
          <t>Long 16:9 + Short teaser</t>
        </is>
      </c>
      <c r="L327" s="15" t="inlineStr">
        <is>
          <t>3–5 min (Short: 50 s)</t>
        </is>
      </c>
      <c r="M327" s="15" t="inlineStr">
        <is>
          <t>guest animal(s) + Bobo</t>
        </is>
      </c>
      <c r="N327" s="15" t="inlineStr">
        <is>
          <t>Story + 3 true animal facts; value: friendship</t>
        </is>
      </c>
      <c r="O327" s="15" t="inlineStr">
        <is>
          <t>Yes</t>
        </is>
      </c>
      <c r="P327" s="15" t="inlineStr">
        <is>
          <t>P2</t>
        </is>
      </c>
      <c r="Q327" s="15" t="inlineStr">
        <is>
          <t>Idea</t>
        </is>
      </c>
      <c r="R327" s="48">
        <f>INDEX('Start Here'!$B$10:$B$16,WEEKDAY(C327,2))</f>
        <v/>
      </c>
      <c r="S327" s="48">
        <f>MOD(R327+'Start Here'!$B$6/24,1)</f>
        <v/>
      </c>
      <c r="T327" s="15" t="n"/>
      <c r="U327" s="15" t="n"/>
      <c r="V327" s="15" t="n"/>
      <c r="W327" s="15" t="n"/>
      <c r="X327" s="20" t="n"/>
      <c r="Y327" s="15" t="n"/>
    </row>
    <row r="328">
      <c r="A328" s="15" t="n">
        <v>327</v>
      </c>
      <c r="B328" s="16">
        <f>INT((A328-1)/7)+1</f>
        <v/>
      </c>
      <c r="C328" s="47">
        <f>'Start Here'!$B$5+A328-1</f>
        <v/>
      </c>
      <c r="D328" s="16">
        <f>TEXT(C328,"ddd")</f>
        <v/>
      </c>
      <c r="E328" s="15" t="inlineStr">
        <is>
          <t>Science Friday</t>
        </is>
      </c>
      <c r="F328" s="24" t="inlineStr">
        <is>
          <t>🚀 Science for Kids</t>
        </is>
      </c>
      <c r="G328" s="15" t="n">
        <v>47</v>
      </c>
      <c r="H328" s="15" t="inlineStr">
        <is>
          <t>What Does the Heart Do?</t>
        </is>
      </c>
      <c r="I328" s="15" t="inlineStr">
        <is>
          <t>What Does the Heart Do? 🚀 | Science for Kids | Tiny Sparks</t>
        </is>
      </c>
      <c r="J328" s="15" t="inlineStr">
        <is>
          <t>6–8</t>
        </is>
      </c>
      <c r="K328" s="15" t="inlineStr">
        <is>
          <t>Short 9:16</t>
        </is>
      </c>
      <c r="L328" s="15" t="inlineStr">
        <is>
          <t>45–60 s</t>
        </is>
      </c>
      <c r="M328" s="15" t="inlineStr">
        <is>
          <t>Prof. Hoot + Leo (wrong guess) + Mila</t>
        </is>
      </c>
      <c r="N328" s="15" t="inlineStr">
        <is>
          <t>Answer simply: What Does the Heart Do?</t>
        </is>
      </c>
      <c r="O328" s="15" t="inlineStr">
        <is>
          <t>Yes</t>
        </is>
      </c>
      <c r="P328" s="15" t="inlineStr">
        <is>
          <t>P2</t>
        </is>
      </c>
      <c r="Q328" s="15" t="inlineStr">
        <is>
          <t>Idea</t>
        </is>
      </c>
      <c r="R328" s="48">
        <f>INDEX('Start Here'!$B$10:$B$16,WEEKDAY(C328,2))</f>
        <v/>
      </c>
      <c r="S328" s="48">
        <f>MOD(R328+'Start Here'!$B$6/24,1)</f>
        <v/>
      </c>
      <c r="T328" s="15" t="n"/>
      <c r="U328" s="15" t="n"/>
      <c r="V328" s="15" t="n"/>
      <c r="W328" s="15" t="n"/>
      <c r="X328" s="20" t="n"/>
      <c r="Y328" s="15" t="n"/>
    </row>
    <row r="329">
      <c r="A329" s="15" t="n">
        <v>328</v>
      </c>
      <c r="B329" s="16">
        <f>INT((A329-1)/7)+1</f>
        <v/>
      </c>
      <c r="C329" s="47">
        <f>'Start Here'!$B$5+A329-1</f>
        <v/>
      </c>
      <c r="D329" s="16">
        <f>TEXT(C329,"ddd")</f>
        <v/>
      </c>
      <c r="E329" s="15" t="inlineStr">
        <is>
          <t>Puzzle Saturday</t>
        </is>
      </c>
      <c r="F329" s="25" t="inlineStr">
        <is>
          <t>🧩 Puzzles &amp; Problem-Solving</t>
        </is>
      </c>
      <c r="G329" s="15" t="n">
        <v>47</v>
      </c>
      <c r="H329" s="15" t="inlineStr">
        <is>
          <t>What Comes Before?</t>
        </is>
      </c>
      <c r="I329" s="15" t="inlineStr">
        <is>
          <t>What Comes Before? 🧩 | Brain Games for Kids | Tiny Sparks</t>
        </is>
      </c>
      <c r="J329" s="15" t="inlineStr">
        <is>
          <t>3–5</t>
        </is>
      </c>
      <c r="K329" s="15" t="inlineStr">
        <is>
          <t>Short 9:16</t>
        </is>
      </c>
      <c r="L329" s="15" t="inlineStr">
        <is>
          <t>45–60 s</t>
        </is>
      </c>
      <c r="M329" s="15" t="inlineStr">
        <is>
          <t>Prof. Hoot + Leo + score strip</t>
        </is>
      </c>
      <c r="N329" s="15" t="inlineStr">
        <is>
          <t>Thinking skill: patterns</t>
        </is>
      </c>
      <c r="O329" s="15" t="inlineStr">
        <is>
          <t>Yes</t>
        </is>
      </c>
      <c r="P329" s="15" t="inlineStr">
        <is>
          <t>P2</t>
        </is>
      </c>
      <c r="Q329" s="15" t="inlineStr">
        <is>
          <t>Idea</t>
        </is>
      </c>
      <c r="R329" s="48">
        <f>INDEX('Start Here'!$B$10:$B$16,WEEKDAY(C329,2))</f>
        <v/>
      </c>
      <c r="S329" s="48">
        <f>MOD(R329+'Start Here'!$B$6/24,1)</f>
        <v/>
      </c>
      <c r="T329" s="15" t="n"/>
      <c r="U329" s="15" t="n"/>
      <c r="V329" s="15" t="n"/>
      <c r="W329" s="15" t="n"/>
      <c r="X329" s="20" t="n"/>
      <c r="Y329" s="15" t="n"/>
    </row>
    <row r="330">
      <c r="A330" s="15" t="n">
        <v>329</v>
      </c>
      <c r="B330" s="16">
        <f>INT((A330-1)/7)+1</f>
        <v/>
      </c>
      <c r="C330" s="47">
        <f>'Start Here'!$B$5+A330-1</f>
        <v/>
      </c>
      <c r="D330" s="16">
        <f>TEXT(C330,"ddd")</f>
        <v/>
      </c>
      <c r="E330" s="15" t="inlineStr">
        <is>
          <t>Song Sunday</t>
        </is>
      </c>
      <c r="F330" s="26" t="inlineStr">
        <is>
          <t>🎵 Educational Songs</t>
        </is>
      </c>
      <c r="G330" s="15" t="n">
        <v>47</v>
      </c>
      <c r="H330" s="15" t="inlineStr">
        <is>
          <t>English Animals Song</t>
        </is>
      </c>
      <c r="I330" s="15" t="inlineStr">
        <is>
          <t>English Animals Song 🎵 | Kids Songs | Tiny Sparks</t>
        </is>
      </c>
      <c r="J330" s="15" t="inlineStr">
        <is>
          <t>3–5</t>
        </is>
      </c>
      <c r="K330" s="15" t="inlineStr">
        <is>
          <t>Long 16:9 + Short cut</t>
        </is>
      </c>
      <c r="L330" s="15" t="inlineStr">
        <is>
          <t>2–3 min (Short: 45 s chorus)</t>
        </is>
      </c>
      <c r="M330" s="15" t="inlineStr">
        <is>
          <t>Mila sings, all dance</t>
        </is>
      </c>
      <c r="N330" s="15" t="inlineStr">
        <is>
          <t>Sing &amp; learn: English Animals</t>
        </is>
      </c>
      <c r="O330" s="15" t="inlineStr">
        <is>
          <t>Yes</t>
        </is>
      </c>
      <c r="P330" s="15" t="inlineStr">
        <is>
          <t>P2</t>
        </is>
      </c>
      <c r="Q330" s="15" t="inlineStr">
        <is>
          <t>Idea</t>
        </is>
      </c>
      <c r="R330" s="48">
        <f>INDEX('Start Here'!$B$10:$B$16,WEEKDAY(C330,2))</f>
        <v/>
      </c>
      <c r="S330" s="48">
        <f>MOD(R330+'Start Here'!$B$6/24,1)</f>
        <v/>
      </c>
      <c r="T330" s="15" t="n"/>
      <c r="U330" s="15" t="n"/>
      <c r="V330" s="15" t="n"/>
      <c r="W330" s="15" t="n"/>
      <c r="X330" s="20" t="n"/>
      <c r="Y330" s="15" t="n"/>
    </row>
    <row r="331">
      <c r="A331" s="15" t="n">
        <v>330</v>
      </c>
      <c r="B331" s="16">
        <f>INT((A331-1)/7)+1</f>
        <v/>
      </c>
      <c r="C331" s="47">
        <f>'Start Here'!$B$5+A331-1</f>
        <v/>
      </c>
      <c r="D331" s="16">
        <f>TEXT(C331,"ddd")</f>
        <v/>
      </c>
      <c r="E331" s="15" t="inlineStr">
        <is>
          <t>Story Monday</t>
        </is>
      </c>
      <c r="F331" s="27" t="inlineStr">
        <is>
          <t>📚 Moral Stories</t>
        </is>
      </c>
      <c r="G331" s="15" t="n">
        <v>24</v>
      </c>
      <c r="H331" s="15" t="inlineStr">
        <is>
          <t>The Power of "Thank You"</t>
        </is>
      </c>
      <c r="I331" s="15" t="inlineStr">
        <is>
          <t>The Power of "Thank You" 📚 | Moral Stories for Kids | Tiny Sparks</t>
        </is>
      </c>
      <c r="J331" s="15" t="inlineStr">
        <is>
          <t>3–5</t>
        </is>
      </c>
      <c r="K331" s="15" t="inlineStr">
        <is>
          <t>Long 16:9 + Short teaser</t>
        </is>
      </c>
      <c r="L331" s="15" t="inlineStr">
        <is>
          <t>3–5 min (Short: 50 s)</t>
        </is>
      </c>
      <c r="M331" s="15" t="inlineStr">
        <is>
          <t>narrator + guest animals / Mila &amp; Leo</t>
        </is>
      </c>
      <c r="N331" s="15" t="inlineStr">
        <is>
          <t>Value: gratitude</t>
        </is>
      </c>
      <c r="O331" s="15" t="inlineStr">
        <is>
          <t>Yes</t>
        </is>
      </c>
      <c r="P331" s="15" t="inlineStr">
        <is>
          <t>P2</t>
        </is>
      </c>
      <c r="Q331" s="15" t="inlineStr">
        <is>
          <t>Idea</t>
        </is>
      </c>
      <c r="R331" s="48">
        <f>INDEX('Start Here'!$B$10:$B$16,WEEKDAY(C331,2))</f>
        <v/>
      </c>
      <c r="S331" s="48">
        <f>MOD(R331+'Start Here'!$B$6/24,1)</f>
        <v/>
      </c>
      <c r="T331" s="15" t="n"/>
      <c r="U331" s="15" t="n"/>
      <c r="V331" s="15" t="n"/>
      <c r="W331" s="15" t="n"/>
      <c r="X331" s="20" t="n"/>
      <c r="Y331" s="15" t="n"/>
    </row>
    <row r="332">
      <c r="A332" s="15" t="n">
        <v>331</v>
      </c>
      <c r="B332" s="16">
        <f>INT((A332-1)/7)+1</f>
        <v/>
      </c>
      <c r="C332" s="47">
        <f>'Start Here'!$B$5+A332-1</f>
        <v/>
      </c>
      <c r="D332" s="16">
        <f>TEXT(C332,"ddd")</f>
        <v/>
      </c>
      <c r="E332" s="15" t="inlineStr">
        <is>
          <t>Math Tuesday</t>
        </is>
      </c>
      <c r="F332" s="21" t="inlineStr">
        <is>
          <t>🔢 Numbers &amp; Math</t>
        </is>
      </c>
      <c r="G332" s="15" t="n">
        <v>48</v>
      </c>
      <c r="H332" s="15" t="inlineStr">
        <is>
          <t>Simple Number Puzzles</t>
        </is>
      </c>
      <c r="I332" s="15" t="inlineStr">
        <is>
          <t>Simple Number Puzzles 🔢 | Learn Math for Kids | Tiny Sparks</t>
        </is>
      </c>
      <c r="J332" s="15" t="inlineStr">
        <is>
          <t>3–5</t>
        </is>
      </c>
      <c r="K332" s="15" t="inlineStr">
        <is>
          <t>Short 9:16</t>
        </is>
      </c>
      <c r="L332" s="15" t="inlineStr">
        <is>
          <t>45–60 s</t>
        </is>
      </c>
      <c r="M332" s="15" t="inlineStr">
        <is>
          <t>Bobo + Mila (counting fingers)</t>
        </is>
      </c>
      <c r="N332" s="15" t="inlineStr">
        <is>
          <t>Math: Simple Number Puzzles</t>
        </is>
      </c>
      <c r="O332" s="15" t="inlineStr">
        <is>
          <t>Yes</t>
        </is>
      </c>
      <c r="P332" s="15" t="inlineStr">
        <is>
          <t>P2</t>
        </is>
      </c>
      <c r="Q332" s="15" t="inlineStr">
        <is>
          <t>Idea</t>
        </is>
      </c>
      <c r="R332" s="48">
        <f>INDEX('Start Here'!$B$10:$B$16,WEEKDAY(C332,2))</f>
        <v/>
      </c>
      <c r="S332" s="48">
        <f>MOD(R332+'Start Here'!$B$6/24,1)</f>
        <v/>
      </c>
      <c r="T332" s="15" t="n"/>
      <c r="U332" s="15" t="n"/>
      <c r="V332" s="15" t="n"/>
      <c r="W332" s="15" t="n"/>
      <c r="X332" s="20" t="n"/>
      <c r="Y332" s="15" t="n"/>
    </row>
    <row r="333">
      <c r="A333" s="15" t="n">
        <v>332</v>
      </c>
      <c r="B333" s="16">
        <f>INT((A333-1)/7)+1</f>
        <v/>
      </c>
      <c r="C333" s="47">
        <f>'Start Here'!$B$5+A333-1</f>
        <v/>
      </c>
      <c r="D333" s="16">
        <f>TEXT(C333,"ddd")</f>
        <v/>
      </c>
      <c r="E333" s="15" t="inlineStr">
        <is>
          <t>Word Wednesday</t>
        </is>
      </c>
      <c r="F333" s="22" t="inlineStr">
        <is>
          <t>🔤 English/French Words</t>
        </is>
      </c>
      <c r="G333" s="15" t="n">
        <v>48</v>
      </c>
      <c r="H333" s="15" t="inlineStr">
        <is>
          <t>Common Animal Verbs</t>
        </is>
      </c>
      <c r="I333" s="15" t="inlineStr">
        <is>
          <t>Common Animal Verbs 🔤 | Kids Vocabulary | Tiny Sparks</t>
        </is>
      </c>
      <c r="J333" s="15" t="inlineStr">
        <is>
          <t>6–8</t>
        </is>
      </c>
      <c r="K333" s="15" t="inlineStr">
        <is>
          <t>Short 9:16</t>
        </is>
      </c>
      <c r="L333" s="15" t="inlineStr">
        <is>
          <t>45–60 s</t>
        </is>
      </c>
      <c r="M333" s="15" t="inlineStr">
        <is>
          <t>Mila + French narrator</t>
        </is>
      </c>
      <c r="N333" s="15" t="inlineStr">
        <is>
          <t>Vocabulary EN→FR: Common Animal Verbs</t>
        </is>
      </c>
      <c r="O333" s="15" t="inlineStr">
        <is>
          <t>Yes</t>
        </is>
      </c>
      <c r="P333" s="15" t="inlineStr">
        <is>
          <t>P2</t>
        </is>
      </c>
      <c r="Q333" s="15" t="inlineStr">
        <is>
          <t>Idea</t>
        </is>
      </c>
      <c r="R333" s="48">
        <f>INDEX('Start Here'!$B$10:$B$16,WEEKDAY(C333,2))</f>
        <v/>
      </c>
      <c r="S333" s="48">
        <f>MOD(R333+'Start Here'!$B$6/24,1)</f>
        <v/>
      </c>
      <c r="T333" s="15" t="n"/>
      <c r="U333" s="15" t="n"/>
      <c r="V333" s="15" t="n"/>
      <c r="W333" s="15" t="n"/>
      <c r="X333" s="20" t="n"/>
      <c r="Y333" s="15" t="n"/>
    </row>
    <row r="334">
      <c r="A334" s="15" t="n">
        <v>333</v>
      </c>
      <c r="B334" s="16">
        <f>INT((A334-1)/7)+1</f>
        <v/>
      </c>
      <c r="C334" s="47">
        <f>'Start Here'!$B$5+A334-1</f>
        <v/>
      </c>
      <c r="D334" s="16">
        <f>TEXT(C334,"ddd")</f>
        <v/>
      </c>
      <c r="E334" s="15" t="inlineStr">
        <is>
          <t>Animal Thursday</t>
        </is>
      </c>
      <c r="F334" s="23" t="inlineStr">
        <is>
          <t>🦁 Animal Stories</t>
        </is>
      </c>
      <c r="G334" s="15" t="n">
        <v>48</v>
      </c>
      <c r="H334" s="15" t="inlineStr">
        <is>
          <t>The Owl's Secret Map</t>
        </is>
      </c>
      <c r="I334" s="15" t="inlineStr">
        <is>
          <t>The Owl's Secret Map 🦁 | Animal Stories for Kids | Tiny Sparks</t>
        </is>
      </c>
      <c r="J334" s="15" t="inlineStr">
        <is>
          <t>6–8</t>
        </is>
      </c>
      <c r="K334" s="15" t="inlineStr">
        <is>
          <t>Long 16:9 + Short teaser</t>
        </is>
      </c>
      <c r="L334" s="15" t="inlineStr">
        <is>
          <t>3–5 min (Short: 50 s)</t>
        </is>
      </c>
      <c r="M334" s="15" t="inlineStr">
        <is>
          <t>guest animal(s) + Bobo</t>
        </is>
      </c>
      <c r="N334" s="15" t="inlineStr">
        <is>
          <t>Story + 3 true animal facts; value: friendship</t>
        </is>
      </c>
      <c r="O334" s="15" t="inlineStr">
        <is>
          <t>Yes</t>
        </is>
      </c>
      <c r="P334" s="15" t="inlineStr">
        <is>
          <t>P2</t>
        </is>
      </c>
      <c r="Q334" s="15" t="inlineStr">
        <is>
          <t>Idea</t>
        </is>
      </c>
      <c r="R334" s="48">
        <f>INDEX('Start Here'!$B$10:$B$16,WEEKDAY(C334,2))</f>
        <v/>
      </c>
      <c r="S334" s="48">
        <f>MOD(R334+'Start Here'!$B$6/24,1)</f>
        <v/>
      </c>
      <c r="T334" s="15" t="n"/>
      <c r="U334" s="15" t="n"/>
      <c r="V334" s="15" t="n"/>
      <c r="W334" s="15" t="n"/>
      <c r="X334" s="20" t="n"/>
      <c r="Y334" s="15" t="n"/>
    </row>
    <row r="335">
      <c r="A335" s="15" t="n">
        <v>334</v>
      </c>
      <c r="B335" s="16">
        <f>INT((A335-1)/7)+1</f>
        <v/>
      </c>
      <c r="C335" s="47">
        <f>'Start Here'!$B$5+A335-1</f>
        <v/>
      </c>
      <c r="D335" s="16">
        <f>TEXT(C335,"ddd")</f>
        <v/>
      </c>
      <c r="E335" s="15" t="inlineStr">
        <is>
          <t>Science Friday</t>
        </is>
      </c>
      <c r="F335" s="24" t="inlineStr">
        <is>
          <t>🚀 Science for Kids</t>
        </is>
      </c>
      <c r="G335" s="15" t="n">
        <v>48</v>
      </c>
      <c r="H335" s="15" t="inlineStr">
        <is>
          <t>What Does the Stomach Do?</t>
        </is>
      </c>
      <c r="I335" s="15" t="inlineStr">
        <is>
          <t>What Does the Stomach Do? 🚀 | Science for Kids | Tiny Sparks</t>
        </is>
      </c>
      <c r="J335" s="15" t="inlineStr">
        <is>
          <t>6–8</t>
        </is>
      </c>
      <c r="K335" s="15" t="inlineStr">
        <is>
          <t>Short 9:16</t>
        </is>
      </c>
      <c r="L335" s="15" t="inlineStr">
        <is>
          <t>45–60 s</t>
        </is>
      </c>
      <c r="M335" s="15" t="inlineStr">
        <is>
          <t>Prof. Hoot + Leo (wrong guess) + Mila</t>
        </is>
      </c>
      <c r="N335" s="15" t="inlineStr">
        <is>
          <t>Answer simply: What Does the Stomach Do?</t>
        </is>
      </c>
      <c r="O335" s="15" t="inlineStr">
        <is>
          <t>Yes</t>
        </is>
      </c>
      <c r="P335" s="15" t="inlineStr">
        <is>
          <t>P2</t>
        </is>
      </c>
      <c r="Q335" s="15" t="inlineStr">
        <is>
          <t>Idea</t>
        </is>
      </c>
      <c r="R335" s="48">
        <f>INDEX('Start Here'!$B$10:$B$16,WEEKDAY(C335,2))</f>
        <v/>
      </c>
      <c r="S335" s="48">
        <f>MOD(R335+'Start Here'!$B$6/24,1)</f>
        <v/>
      </c>
      <c r="T335" s="15" t="n"/>
      <c r="U335" s="15" t="n"/>
      <c r="V335" s="15" t="n"/>
      <c r="W335" s="15" t="n"/>
      <c r="X335" s="20" t="n"/>
      <c r="Y335" s="15" t="n"/>
    </row>
    <row r="336">
      <c r="A336" s="15" t="n">
        <v>335</v>
      </c>
      <c r="B336" s="16">
        <f>INT((A336-1)/7)+1</f>
        <v/>
      </c>
      <c r="C336" s="47">
        <f>'Start Here'!$B$5+A336-1</f>
        <v/>
      </c>
      <c r="D336" s="16">
        <f>TEXT(C336,"ddd")</f>
        <v/>
      </c>
      <c r="E336" s="15" t="inlineStr">
        <is>
          <t>Puzzle Saturday</t>
        </is>
      </c>
      <c r="F336" s="25" t="inlineStr">
        <is>
          <t>🧩 Puzzles &amp; Problem-Solving</t>
        </is>
      </c>
      <c r="G336" s="15" t="n">
        <v>48</v>
      </c>
      <c r="H336" s="15" t="inlineStr">
        <is>
          <t>What Is Missing?</t>
        </is>
      </c>
      <c r="I336" s="15" t="inlineStr">
        <is>
          <t>What Is Missing? 🧩 | Brain Games for Kids | Tiny Sparks</t>
        </is>
      </c>
      <c r="J336" s="15" t="inlineStr">
        <is>
          <t>3–5</t>
        </is>
      </c>
      <c r="K336" s="15" t="inlineStr">
        <is>
          <t>Short 9:16</t>
        </is>
      </c>
      <c r="L336" s="15" t="inlineStr">
        <is>
          <t>45–60 s</t>
        </is>
      </c>
      <c r="M336" s="15" t="inlineStr">
        <is>
          <t>Prof. Hoot + Leo + score strip</t>
        </is>
      </c>
      <c r="N336" s="15" t="inlineStr">
        <is>
          <t>Thinking skill: reasoning</t>
        </is>
      </c>
      <c r="O336" s="15" t="inlineStr">
        <is>
          <t>Yes</t>
        </is>
      </c>
      <c r="P336" s="15" t="inlineStr">
        <is>
          <t>P2</t>
        </is>
      </c>
      <c r="Q336" s="15" t="inlineStr">
        <is>
          <t>Idea</t>
        </is>
      </c>
      <c r="R336" s="48">
        <f>INDEX('Start Here'!$B$10:$B$16,WEEKDAY(C336,2))</f>
        <v/>
      </c>
      <c r="S336" s="48">
        <f>MOD(R336+'Start Here'!$B$6/24,1)</f>
        <v/>
      </c>
      <c r="T336" s="15" t="n"/>
      <c r="U336" s="15" t="n"/>
      <c r="V336" s="15" t="n"/>
      <c r="W336" s="15" t="n"/>
      <c r="X336" s="20" t="n"/>
      <c r="Y336" s="15" t="n"/>
    </row>
    <row r="337">
      <c r="A337" s="15" t="n">
        <v>336</v>
      </c>
      <c r="B337" s="16">
        <f>INT((A337-1)/7)+1</f>
        <v/>
      </c>
      <c r="C337" s="47">
        <f>'Start Here'!$B$5+A337-1</f>
        <v/>
      </c>
      <c r="D337" s="16">
        <f>TEXT(C337,"ddd")</f>
        <v/>
      </c>
      <c r="E337" s="15" t="inlineStr">
        <is>
          <t>Song Sunday</t>
        </is>
      </c>
      <c r="F337" s="26" t="inlineStr">
        <is>
          <t>🎵 Educational Songs</t>
        </is>
      </c>
      <c r="G337" s="15" t="n">
        <v>48</v>
      </c>
      <c r="H337" s="15" t="inlineStr">
        <is>
          <t>French Animals Song</t>
        </is>
      </c>
      <c r="I337" s="15" t="inlineStr">
        <is>
          <t>French Animals Song 🎵 | Kids Songs | Tiny Sparks</t>
        </is>
      </c>
      <c r="J337" s="15" t="inlineStr">
        <is>
          <t>3–5</t>
        </is>
      </c>
      <c r="K337" s="15" t="inlineStr">
        <is>
          <t>Long 16:9 + Short cut</t>
        </is>
      </c>
      <c r="L337" s="15" t="inlineStr">
        <is>
          <t>2–3 min (Short: 45 s chorus)</t>
        </is>
      </c>
      <c r="M337" s="15" t="inlineStr">
        <is>
          <t>Mila sings, all dance</t>
        </is>
      </c>
      <c r="N337" s="15" t="inlineStr">
        <is>
          <t>Sing &amp; learn: French Animals</t>
        </is>
      </c>
      <c r="O337" s="15" t="inlineStr">
        <is>
          <t>Yes</t>
        </is>
      </c>
      <c r="P337" s="15" t="inlineStr">
        <is>
          <t>P2</t>
        </is>
      </c>
      <c r="Q337" s="15" t="inlineStr">
        <is>
          <t>Idea</t>
        </is>
      </c>
      <c r="R337" s="48">
        <f>INDEX('Start Here'!$B$10:$B$16,WEEKDAY(C337,2))</f>
        <v/>
      </c>
      <c r="S337" s="48">
        <f>MOD(R337+'Start Here'!$B$6/24,1)</f>
        <v/>
      </c>
      <c r="T337" s="15" t="n"/>
      <c r="U337" s="15" t="n"/>
      <c r="V337" s="15" t="n"/>
      <c r="W337" s="15" t="n"/>
      <c r="X337" s="20" t="n"/>
      <c r="Y337" s="15" t="n"/>
    </row>
    <row r="338">
      <c r="A338" s="15" t="n">
        <v>337</v>
      </c>
      <c r="B338" s="16">
        <f>INT((A338-1)/7)+1</f>
        <v/>
      </c>
      <c r="C338" s="47">
        <f>'Start Here'!$B$5+A338-1</f>
        <v/>
      </c>
      <c r="D338" s="16">
        <f>TEXT(C338,"ddd")</f>
        <v/>
      </c>
      <c r="E338" s="15" t="inlineStr">
        <is>
          <t>Story Monday</t>
        </is>
      </c>
      <c r="F338" s="18" t="inlineStr">
        <is>
          <t>🧠 Educational Stories</t>
        </is>
      </c>
      <c r="G338" s="15" t="n">
        <v>25</v>
      </c>
      <c r="H338" s="15" t="inlineStr">
        <is>
          <t>Tommy Learns How to Cross the Street Safely</t>
        </is>
      </c>
      <c r="I338" s="15" t="inlineStr">
        <is>
          <t>Leo Learns How to Cross the Street Safely 🧠 | Kids Stories | Tiny Sparks</t>
        </is>
      </c>
      <c r="J338" s="15" t="inlineStr">
        <is>
          <t>3–5</t>
        </is>
      </c>
      <c r="K338" s="15" t="inlineStr">
        <is>
          <t>Long 16:9 + Short teaser</t>
        </is>
      </c>
      <c r="L338" s="15" t="inlineStr">
        <is>
          <t>3–5 min (Short: 50 s)</t>
        </is>
      </c>
      <c r="M338" s="15" t="inlineStr">
        <is>
          <t>Leo (lead) · Mila, Leo, Bobo + narrator</t>
        </is>
      </c>
      <c r="N338" s="15" t="inlineStr">
        <is>
          <t>Life skill: to Cross the Street Safely</t>
        </is>
      </c>
      <c r="O338" s="15" t="inlineStr">
        <is>
          <t>Yes</t>
        </is>
      </c>
      <c r="P338" s="15" t="inlineStr">
        <is>
          <t>P2</t>
        </is>
      </c>
      <c r="Q338" s="15" t="inlineStr">
        <is>
          <t>Idea</t>
        </is>
      </c>
      <c r="R338" s="48">
        <f>INDEX('Start Here'!$B$10:$B$16,WEEKDAY(C338,2))</f>
        <v/>
      </c>
      <c r="S338" s="48">
        <f>MOD(R338+'Start Here'!$B$6/24,1)</f>
        <v/>
      </c>
      <c r="T338" s="15" t="n"/>
      <c r="U338" s="15" t="n"/>
      <c r="V338" s="15" t="n"/>
      <c r="W338" s="15" t="n"/>
      <c r="X338" s="20" t="n"/>
      <c r="Y338" s="15" t="n"/>
    </row>
    <row r="339">
      <c r="A339" s="15" t="n">
        <v>338</v>
      </c>
      <c r="B339" s="16">
        <f>INT((A339-1)/7)+1</f>
        <v/>
      </c>
      <c r="C339" s="47">
        <f>'Start Here'!$B$5+A339-1</f>
        <v/>
      </c>
      <c r="D339" s="16">
        <f>TEXT(C339,"ddd")</f>
        <v/>
      </c>
      <c r="E339" s="15" t="inlineStr">
        <is>
          <t>Math Tuesday</t>
        </is>
      </c>
      <c r="F339" s="21" t="inlineStr">
        <is>
          <t>🔢 Numbers &amp; Math</t>
        </is>
      </c>
      <c r="G339" s="15" t="n">
        <v>49</v>
      </c>
      <c r="H339" s="15" t="inlineStr">
        <is>
          <t>Math Treasure Hunt</t>
        </is>
      </c>
      <c r="I339" s="15" t="inlineStr">
        <is>
          <t>Math Treasure Hunt 🔢 | Learn Math for Kids | Tiny Sparks</t>
        </is>
      </c>
      <c r="J339" s="15" t="inlineStr">
        <is>
          <t>3–5</t>
        </is>
      </c>
      <c r="K339" s="15" t="inlineStr">
        <is>
          <t>Long 16:9</t>
        </is>
      </c>
      <c r="L339" s="15" t="inlineStr">
        <is>
          <t>4–8 min</t>
        </is>
      </c>
      <c r="M339" s="15" t="inlineStr">
        <is>
          <t>Bobo + Mila (counting fingers)</t>
        </is>
      </c>
      <c r="N339" s="15" t="inlineStr">
        <is>
          <t>Math: Math Treasure Hunt</t>
        </is>
      </c>
      <c r="O339" s="15" t="inlineStr">
        <is>
          <t>Yes</t>
        </is>
      </c>
      <c r="P339" s="15" t="inlineStr">
        <is>
          <t>P2</t>
        </is>
      </c>
      <c r="Q339" s="15" t="inlineStr">
        <is>
          <t>Idea</t>
        </is>
      </c>
      <c r="R339" s="48">
        <f>INDEX('Start Here'!$B$10:$B$16,WEEKDAY(C339,2))</f>
        <v/>
      </c>
      <c r="S339" s="48">
        <f>MOD(R339+'Start Here'!$B$6/24,1)</f>
        <v/>
      </c>
      <c r="T339" s="15" t="n"/>
      <c r="U339" s="15" t="n"/>
      <c r="V339" s="15" t="n"/>
      <c r="W339" s="15" t="n"/>
      <c r="X339" s="20" t="n"/>
      <c r="Y339" s="15" t="n"/>
    </row>
    <row r="340">
      <c r="A340" s="15" t="n">
        <v>339</v>
      </c>
      <c r="B340" s="16">
        <f>INT((A340-1)/7)+1</f>
        <v/>
      </c>
      <c r="C340" s="47">
        <f>'Start Here'!$B$5+A340-1</f>
        <v/>
      </c>
      <c r="D340" s="16">
        <f>TEXT(C340,"ddd")</f>
        <v/>
      </c>
      <c r="E340" s="15" t="inlineStr">
        <is>
          <t>Word Wednesday</t>
        </is>
      </c>
      <c r="F340" s="22" t="inlineStr">
        <is>
          <t>🔤 English/French Words</t>
        </is>
      </c>
      <c r="G340" s="15" t="n">
        <v>49</v>
      </c>
      <c r="H340" s="15" t="inlineStr">
        <is>
          <t>20 Beginner English Verbs</t>
        </is>
      </c>
      <c r="I340" s="15" t="inlineStr">
        <is>
          <t>20 Beginner English Verbs 🔤 | Kids Vocabulary | Tiny Sparks</t>
        </is>
      </c>
      <c r="J340" s="15" t="inlineStr">
        <is>
          <t>6–8</t>
        </is>
      </c>
      <c r="K340" s="15" t="inlineStr">
        <is>
          <t>Long 16:9</t>
        </is>
      </c>
      <c r="L340" s="15" t="inlineStr">
        <is>
          <t>4–8 min</t>
        </is>
      </c>
      <c r="M340" s="15" t="inlineStr">
        <is>
          <t>Mila + French narrator</t>
        </is>
      </c>
      <c r="N340" s="15" t="inlineStr">
        <is>
          <t>Vocabulary EN→FR: 20 Beginner English Verbs</t>
        </is>
      </c>
      <c r="O340" s="15" t="inlineStr">
        <is>
          <t>Yes</t>
        </is>
      </c>
      <c r="P340" s="15" t="inlineStr">
        <is>
          <t>P2</t>
        </is>
      </c>
      <c r="Q340" s="15" t="inlineStr">
        <is>
          <t>Idea</t>
        </is>
      </c>
      <c r="R340" s="48">
        <f>INDEX('Start Here'!$B$10:$B$16,WEEKDAY(C340,2))</f>
        <v/>
      </c>
      <c r="S340" s="48">
        <f>MOD(R340+'Start Here'!$B$6/24,1)</f>
        <v/>
      </c>
      <c r="T340" s="15" t="n"/>
      <c r="U340" s="15" t="n"/>
      <c r="V340" s="15" t="n"/>
      <c r="W340" s="15" t="n"/>
      <c r="X340" s="20" t="n"/>
      <c r="Y340" s="15" t="n"/>
    </row>
    <row r="341">
      <c r="A341" s="15" t="n">
        <v>340</v>
      </c>
      <c r="B341" s="16">
        <f>INT((A341-1)/7)+1</f>
        <v/>
      </c>
      <c r="C341" s="47">
        <f>'Start Here'!$B$5+A341-1</f>
        <v/>
      </c>
      <c r="D341" s="16">
        <f>TEXT(C341,"ddd")</f>
        <v/>
      </c>
      <c r="E341" s="15" t="inlineStr">
        <is>
          <t>Animal Thursday</t>
        </is>
      </c>
      <c r="F341" s="23" t="inlineStr">
        <is>
          <t>🦁 Animal Stories</t>
        </is>
      </c>
      <c r="G341" s="15" t="n">
        <v>49</v>
      </c>
      <c r="H341" s="15" t="inlineStr">
        <is>
          <t>The Turtle's Treasure</t>
        </is>
      </c>
      <c r="I341" s="15" t="inlineStr">
        <is>
          <t>The Turtle's Treasure 🦁 | Animal Stories for Kids | Tiny Sparks</t>
        </is>
      </c>
      <c r="J341" s="15" t="inlineStr">
        <is>
          <t>3–5</t>
        </is>
      </c>
      <c r="K341" s="15" t="inlineStr">
        <is>
          <t>Long 16:9 + Short teaser</t>
        </is>
      </c>
      <c r="L341" s="15" t="inlineStr">
        <is>
          <t>3–5 min (Short: 50 s)</t>
        </is>
      </c>
      <c r="M341" s="15" t="inlineStr">
        <is>
          <t>guest animal(s) + Bobo</t>
        </is>
      </c>
      <c r="N341" s="15" t="inlineStr">
        <is>
          <t>Story + 3 true animal facts; value: what really matters</t>
        </is>
      </c>
      <c r="O341" s="15" t="inlineStr">
        <is>
          <t>Build first: turtle</t>
        </is>
      </c>
      <c r="P341" s="15" t="inlineStr">
        <is>
          <t>P2</t>
        </is>
      </c>
      <c r="Q341" s="15" t="inlineStr">
        <is>
          <t>Idea</t>
        </is>
      </c>
      <c r="R341" s="48">
        <f>INDEX('Start Here'!$B$10:$B$16,WEEKDAY(C341,2))</f>
        <v/>
      </c>
      <c r="S341" s="48">
        <f>MOD(R341+'Start Here'!$B$6/24,1)</f>
        <v/>
      </c>
      <c r="T341" s="15" t="n"/>
      <c r="U341" s="15" t="n"/>
      <c r="V341" s="15" t="n"/>
      <c r="W341" s="15" t="n"/>
      <c r="X341" s="20" t="n"/>
      <c r="Y341" s="15" t="n"/>
    </row>
    <row r="342">
      <c r="A342" s="15" t="n">
        <v>341</v>
      </c>
      <c r="B342" s="16">
        <f>INT((A342-1)/7)+1</f>
        <v/>
      </c>
      <c r="C342" s="47">
        <f>'Start Here'!$B$5+A342-1</f>
        <v/>
      </c>
      <c r="D342" s="16">
        <f>TEXT(C342,"ddd")</f>
        <v/>
      </c>
      <c r="E342" s="15" t="inlineStr">
        <is>
          <t>Science Friday</t>
        </is>
      </c>
      <c r="F342" s="24" t="inlineStr">
        <is>
          <t>🚀 Science for Kids</t>
        </is>
      </c>
      <c r="G342" s="15" t="n">
        <v>49</v>
      </c>
      <c r="H342" s="15" t="inlineStr">
        <is>
          <t>Why Do We Need Bones?</t>
        </is>
      </c>
      <c r="I342" s="15" t="inlineStr">
        <is>
          <t>Why Do We Need Bones? 🚀 | Science for Kids | Tiny Sparks</t>
        </is>
      </c>
      <c r="J342" s="15" t="inlineStr">
        <is>
          <t>6–8</t>
        </is>
      </c>
      <c r="K342" s="15" t="inlineStr">
        <is>
          <t>Short 9:16</t>
        </is>
      </c>
      <c r="L342" s="15" t="inlineStr">
        <is>
          <t>45–60 s</t>
        </is>
      </c>
      <c r="M342" s="15" t="inlineStr">
        <is>
          <t>Prof. Hoot + Leo (wrong guess) + Mila</t>
        </is>
      </c>
      <c r="N342" s="15" t="inlineStr">
        <is>
          <t>Answer simply: Why Do We Need Bones?</t>
        </is>
      </c>
      <c r="O342" s="15" t="inlineStr">
        <is>
          <t>Yes</t>
        </is>
      </c>
      <c r="P342" s="15" t="inlineStr">
        <is>
          <t>P2</t>
        </is>
      </c>
      <c r="Q342" s="15" t="inlineStr">
        <is>
          <t>Idea</t>
        </is>
      </c>
      <c r="R342" s="48">
        <f>INDEX('Start Here'!$B$10:$B$16,WEEKDAY(C342,2))</f>
        <v/>
      </c>
      <c r="S342" s="48">
        <f>MOD(R342+'Start Here'!$B$6/24,1)</f>
        <v/>
      </c>
      <c r="T342" s="15" t="n"/>
      <c r="U342" s="15" t="n"/>
      <c r="V342" s="15" t="n"/>
      <c r="W342" s="15" t="n"/>
      <c r="X342" s="20" t="n"/>
      <c r="Y342" s="15" t="n"/>
    </row>
    <row r="343">
      <c r="A343" s="15" t="n">
        <v>342</v>
      </c>
      <c r="B343" s="16">
        <f>INT((A343-1)/7)+1</f>
        <v/>
      </c>
      <c r="C343" s="47">
        <f>'Start Here'!$B$5+A343-1</f>
        <v/>
      </c>
      <c r="D343" s="16">
        <f>TEXT(C343,"ddd")</f>
        <v/>
      </c>
      <c r="E343" s="15" t="inlineStr">
        <is>
          <t>Puzzle Saturday</t>
        </is>
      </c>
      <c r="F343" s="25" t="inlineStr">
        <is>
          <t>🧩 Puzzles &amp; Problem-Solving</t>
        </is>
      </c>
      <c r="G343" s="15" t="n">
        <v>49</v>
      </c>
      <c r="H343" s="15" t="inlineStr">
        <is>
          <t>Guess the Mystery Number</t>
        </is>
      </c>
      <c r="I343" s="15" t="inlineStr">
        <is>
          <t>Guess the Mystery Number 🧩 | Brain Games for Kids | Tiny Sparks</t>
        </is>
      </c>
      <c r="J343" s="15" t="inlineStr">
        <is>
          <t>3–5</t>
        </is>
      </c>
      <c r="K343" s="15" t="inlineStr">
        <is>
          <t>Long 16:9</t>
        </is>
      </c>
      <c r="L343" s="15" t="inlineStr">
        <is>
          <t>4–8 min</t>
        </is>
      </c>
      <c r="M343" s="15" t="inlineStr">
        <is>
          <t>Prof. Hoot + Leo + score strip</t>
        </is>
      </c>
      <c r="N343" s="15" t="inlineStr">
        <is>
          <t>Thinking skill: reasoning</t>
        </is>
      </c>
      <c r="O343" s="15" t="inlineStr">
        <is>
          <t>Yes</t>
        </is>
      </c>
      <c r="P343" s="15" t="inlineStr">
        <is>
          <t>P2</t>
        </is>
      </c>
      <c r="Q343" s="15" t="inlineStr">
        <is>
          <t>Idea</t>
        </is>
      </c>
      <c r="R343" s="48">
        <f>INDEX('Start Here'!$B$10:$B$16,WEEKDAY(C343,2))</f>
        <v/>
      </c>
      <c r="S343" s="48">
        <f>MOD(R343+'Start Here'!$B$6/24,1)</f>
        <v/>
      </c>
      <c r="T343" s="15" t="n"/>
      <c r="U343" s="15" t="n"/>
      <c r="V343" s="15" t="n"/>
      <c r="W343" s="15" t="n"/>
      <c r="X343" s="20" t="n"/>
      <c r="Y343" s="15" t="n"/>
    </row>
    <row r="344">
      <c r="A344" s="15" t="n">
        <v>343</v>
      </c>
      <c r="B344" s="16">
        <f>INT((A344-1)/7)+1</f>
        <v/>
      </c>
      <c r="C344" s="47">
        <f>'Start Here'!$B$5+A344-1</f>
        <v/>
      </c>
      <c r="D344" s="16">
        <f>TEXT(C344,"ddd")</f>
        <v/>
      </c>
      <c r="E344" s="15" t="inlineStr">
        <is>
          <t>Song Sunday</t>
        </is>
      </c>
      <c r="F344" s="26" t="inlineStr">
        <is>
          <t>🎵 Educational Songs</t>
        </is>
      </c>
      <c r="G344" s="15" t="n">
        <v>49</v>
      </c>
      <c r="H344" s="15" t="inlineStr">
        <is>
          <t>English Food Song</t>
        </is>
      </c>
      <c r="I344" s="15" t="inlineStr">
        <is>
          <t>English Food Song 🎵 | Kids Songs | Tiny Sparks</t>
        </is>
      </c>
      <c r="J344" s="15" t="inlineStr">
        <is>
          <t>3–5</t>
        </is>
      </c>
      <c r="K344" s="15" t="inlineStr">
        <is>
          <t>Long 16:9 + Short cut</t>
        </is>
      </c>
      <c r="L344" s="15" t="inlineStr">
        <is>
          <t>2–3 min (Short: 45 s chorus)</t>
        </is>
      </c>
      <c r="M344" s="15" t="inlineStr">
        <is>
          <t>Mila sings, all dance</t>
        </is>
      </c>
      <c r="N344" s="15" t="inlineStr">
        <is>
          <t>Sing &amp; learn: English Food</t>
        </is>
      </c>
      <c r="O344" s="15" t="inlineStr">
        <is>
          <t>Yes</t>
        </is>
      </c>
      <c r="P344" s="15" t="inlineStr">
        <is>
          <t>P2</t>
        </is>
      </c>
      <c r="Q344" s="15" t="inlineStr">
        <is>
          <t>Idea</t>
        </is>
      </c>
      <c r="R344" s="48">
        <f>INDEX('Start Here'!$B$10:$B$16,WEEKDAY(C344,2))</f>
        <v/>
      </c>
      <c r="S344" s="48">
        <f>MOD(R344+'Start Here'!$B$6/24,1)</f>
        <v/>
      </c>
      <c r="T344" s="15" t="n"/>
      <c r="U344" s="15" t="n"/>
      <c r="V344" s="15" t="n"/>
      <c r="W344" s="15" t="n"/>
      <c r="X344" s="20" t="n"/>
      <c r="Y344" s="15" t="n"/>
    </row>
    <row r="345">
      <c r="A345" s="15" t="n">
        <v>344</v>
      </c>
      <c r="B345" s="16">
        <f>INT((A345-1)/7)+1</f>
        <v/>
      </c>
      <c r="C345" s="47">
        <f>'Start Here'!$B$5+A345-1</f>
        <v/>
      </c>
      <c r="D345" s="16">
        <f>TEXT(C345,"ddd")</f>
        <v/>
      </c>
      <c r="E345" s="15" t="inlineStr">
        <is>
          <t>Story Monday</t>
        </is>
      </c>
      <c r="F345" s="27" t="inlineStr">
        <is>
          <t>📚 Moral Stories</t>
        </is>
      </c>
      <c r="G345" s="15" t="n">
        <v>25</v>
      </c>
      <c r="H345" s="15" t="inlineStr">
        <is>
          <t>The Importance of Saying Sorry</t>
        </is>
      </c>
      <c r="I345" s="15" t="inlineStr">
        <is>
          <t>The Importance of Saying Sorry 📚 | Moral Stories for Kids | Tiny Sparks</t>
        </is>
      </c>
      <c r="J345" s="15" t="inlineStr">
        <is>
          <t>3–5</t>
        </is>
      </c>
      <c r="K345" s="15" t="inlineStr">
        <is>
          <t>Long 16:9 + Short teaser</t>
        </is>
      </c>
      <c r="L345" s="15" t="inlineStr">
        <is>
          <t>3–5 min (Short: 50 s)</t>
        </is>
      </c>
      <c r="M345" s="15" t="inlineStr">
        <is>
          <t>narrator + guest animals / Mila &amp; Leo</t>
        </is>
      </c>
      <c r="N345" s="15" t="inlineStr">
        <is>
          <t>Value: saying sorry</t>
        </is>
      </c>
      <c r="O345" s="15" t="inlineStr">
        <is>
          <t>Yes</t>
        </is>
      </c>
      <c r="P345" s="15" t="inlineStr">
        <is>
          <t>P2</t>
        </is>
      </c>
      <c r="Q345" s="15" t="inlineStr">
        <is>
          <t>Idea</t>
        </is>
      </c>
      <c r="R345" s="48">
        <f>INDEX('Start Here'!$B$10:$B$16,WEEKDAY(C345,2))</f>
        <v/>
      </c>
      <c r="S345" s="48">
        <f>MOD(R345+'Start Here'!$B$6/24,1)</f>
        <v/>
      </c>
      <c r="T345" s="15" t="n"/>
      <c r="U345" s="15" t="n"/>
      <c r="V345" s="15" t="n"/>
      <c r="W345" s="15" t="n"/>
      <c r="X345" s="20" t="n"/>
      <c r="Y345" s="15" t="n"/>
    </row>
    <row r="346">
      <c r="A346" s="15" t="n">
        <v>345</v>
      </c>
      <c r="B346" s="16">
        <f>INT((A346-1)/7)+1</f>
        <v/>
      </c>
      <c r="C346" s="47">
        <f>'Start Here'!$B$5+A346-1</f>
        <v/>
      </c>
      <c r="D346" s="16">
        <f>TEXT(C346,"ddd")</f>
        <v/>
      </c>
      <c r="E346" s="15" t="inlineStr">
        <is>
          <t>Math Tuesday</t>
        </is>
      </c>
      <c r="F346" s="21" t="inlineStr">
        <is>
          <t>🔢 Numbers &amp; Math</t>
        </is>
      </c>
      <c r="G346" s="15" t="n">
        <v>50</v>
      </c>
      <c r="H346" s="15" t="inlineStr">
        <is>
          <t>Solve the Mystery Number</t>
        </is>
      </c>
      <c r="I346" s="15" t="inlineStr">
        <is>
          <t>Solve the Mystery Number 🔢 | Learn Math for Kids | Tiny Sparks</t>
        </is>
      </c>
      <c r="J346" s="15" t="inlineStr">
        <is>
          <t>3–5</t>
        </is>
      </c>
      <c r="K346" s="15" t="inlineStr">
        <is>
          <t>Long 16:9</t>
        </is>
      </c>
      <c r="L346" s="15" t="inlineStr">
        <is>
          <t>4–8 min</t>
        </is>
      </c>
      <c r="M346" s="15" t="inlineStr">
        <is>
          <t>Bobo + Mila (counting fingers)</t>
        </is>
      </c>
      <c r="N346" s="15" t="inlineStr">
        <is>
          <t>Math: Solve the Mystery Number</t>
        </is>
      </c>
      <c r="O346" s="15" t="inlineStr">
        <is>
          <t>Yes</t>
        </is>
      </c>
      <c r="P346" s="15" t="inlineStr">
        <is>
          <t>P2</t>
        </is>
      </c>
      <c r="Q346" s="15" t="inlineStr">
        <is>
          <t>Idea</t>
        </is>
      </c>
      <c r="R346" s="48">
        <f>INDEX('Start Here'!$B$10:$B$16,WEEKDAY(C346,2))</f>
        <v/>
      </c>
      <c r="S346" s="48">
        <f>MOD(R346+'Start Here'!$B$6/24,1)</f>
        <v/>
      </c>
      <c r="T346" s="15" t="n"/>
      <c r="U346" s="15" t="n"/>
      <c r="V346" s="15" t="n"/>
      <c r="W346" s="15" t="n"/>
      <c r="X346" s="20" t="n"/>
      <c r="Y346" s="15" t="n"/>
    </row>
    <row r="347">
      <c r="A347" s="15" t="n">
        <v>346</v>
      </c>
      <c r="B347" s="16">
        <f>INT((A347-1)/7)+1</f>
        <v/>
      </c>
      <c r="C347" s="47">
        <f>'Start Here'!$B$5+A347-1</f>
        <v/>
      </c>
      <c r="D347" s="16">
        <f>TEXT(C347,"ddd")</f>
        <v/>
      </c>
      <c r="E347" s="15" t="inlineStr">
        <is>
          <t>Word Wednesday</t>
        </is>
      </c>
      <c r="F347" s="22" t="inlineStr">
        <is>
          <t>🔤 English/French Words</t>
        </is>
      </c>
      <c r="G347" s="15" t="n">
        <v>50</v>
      </c>
      <c r="H347" s="15" t="inlineStr">
        <is>
          <t>20 Beginner French Verbs</t>
        </is>
      </c>
      <c r="I347" s="15" t="inlineStr">
        <is>
          <t>20 Beginner French Verbs 🔤 | Kids Vocabulary | Tiny Sparks</t>
        </is>
      </c>
      <c r="J347" s="15" t="inlineStr">
        <is>
          <t>6–8</t>
        </is>
      </c>
      <c r="K347" s="15" t="inlineStr">
        <is>
          <t>Long 16:9</t>
        </is>
      </c>
      <c r="L347" s="15" t="inlineStr">
        <is>
          <t>4–8 min</t>
        </is>
      </c>
      <c r="M347" s="15" t="inlineStr">
        <is>
          <t>Mila + French narrator</t>
        </is>
      </c>
      <c r="N347" s="15" t="inlineStr">
        <is>
          <t>Vocabulary EN→FR: 20 Beginner French Verbs</t>
        </is>
      </c>
      <c r="O347" s="15" t="inlineStr">
        <is>
          <t>Yes</t>
        </is>
      </c>
      <c r="P347" s="15" t="inlineStr">
        <is>
          <t>P2</t>
        </is>
      </c>
      <c r="Q347" s="15" t="inlineStr">
        <is>
          <t>Idea</t>
        </is>
      </c>
      <c r="R347" s="48">
        <f>INDEX('Start Here'!$B$10:$B$16,WEEKDAY(C347,2))</f>
        <v/>
      </c>
      <c r="S347" s="48">
        <f>MOD(R347+'Start Here'!$B$6/24,1)</f>
        <v/>
      </c>
      <c r="T347" s="15" t="n"/>
      <c r="U347" s="15" t="n"/>
      <c r="V347" s="15" t="n"/>
      <c r="W347" s="15" t="n"/>
      <c r="X347" s="20" t="n"/>
      <c r="Y347" s="15" t="n"/>
    </row>
    <row r="348">
      <c r="A348" s="15" t="n">
        <v>347</v>
      </c>
      <c r="B348" s="16">
        <f>INT((A348-1)/7)+1</f>
        <v/>
      </c>
      <c r="C348" s="47">
        <f>'Start Here'!$B$5+A348-1</f>
        <v/>
      </c>
      <c r="D348" s="16">
        <f>TEXT(C348,"ddd")</f>
        <v/>
      </c>
      <c r="E348" s="15" t="inlineStr">
        <is>
          <t>Animal Thursday</t>
        </is>
      </c>
      <c r="F348" s="23" t="inlineStr">
        <is>
          <t>🦁 Animal Stories</t>
        </is>
      </c>
      <c r="G348" s="15" t="n">
        <v>50</v>
      </c>
      <c r="H348" s="15" t="inlineStr">
        <is>
          <t>The Dolphin's Hidden Cave</t>
        </is>
      </c>
      <c r="I348" s="15" t="inlineStr">
        <is>
          <t>The Dolphin's Hidden Cave 🦁 | Animal Stories for Kids | Tiny Sparks</t>
        </is>
      </c>
      <c r="J348" s="15" t="inlineStr">
        <is>
          <t>3–5</t>
        </is>
      </c>
      <c r="K348" s="15" t="inlineStr">
        <is>
          <t>Long 16:9 + Short teaser</t>
        </is>
      </c>
      <c r="L348" s="15" t="inlineStr">
        <is>
          <t>3–5 min (Short: 50 s)</t>
        </is>
      </c>
      <c r="M348" s="15" t="inlineStr">
        <is>
          <t>guest animal(s) + Bobo</t>
        </is>
      </c>
      <c r="N348" s="15" t="inlineStr">
        <is>
          <t>Story + 3 true animal facts; value: friendship</t>
        </is>
      </c>
      <c r="O348" s="15" t="inlineStr">
        <is>
          <t>Build first: dolphin</t>
        </is>
      </c>
      <c r="P348" s="15" t="inlineStr">
        <is>
          <t>P2</t>
        </is>
      </c>
      <c r="Q348" s="15" t="inlineStr">
        <is>
          <t>Idea</t>
        </is>
      </c>
      <c r="R348" s="48">
        <f>INDEX('Start Here'!$B$10:$B$16,WEEKDAY(C348,2))</f>
        <v/>
      </c>
      <c r="S348" s="48">
        <f>MOD(R348+'Start Here'!$B$6/24,1)</f>
        <v/>
      </c>
      <c r="T348" s="15" t="n"/>
      <c r="U348" s="15" t="n"/>
      <c r="V348" s="15" t="n"/>
      <c r="W348" s="15" t="n"/>
      <c r="X348" s="20" t="n"/>
      <c r="Y348" s="15" t="n"/>
    </row>
    <row r="349">
      <c r="A349" s="15" t="n">
        <v>348</v>
      </c>
      <c r="B349" s="16">
        <f>INT((A349-1)/7)+1</f>
        <v/>
      </c>
      <c r="C349" s="47">
        <f>'Start Here'!$B$5+A349-1</f>
        <v/>
      </c>
      <c r="D349" s="16">
        <f>TEXT(C349,"ddd")</f>
        <v/>
      </c>
      <c r="E349" s="15" t="inlineStr">
        <is>
          <t>Science Friday</t>
        </is>
      </c>
      <c r="F349" s="24" t="inlineStr">
        <is>
          <t>🚀 Science for Kids</t>
        </is>
      </c>
      <c r="G349" s="15" t="n">
        <v>50</v>
      </c>
      <c r="H349" s="15" t="inlineStr">
        <is>
          <t>Why Do We Need Muscles?</t>
        </is>
      </c>
      <c r="I349" s="15" t="inlineStr">
        <is>
          <t>Why Do We Need Muscles? 🚀 | Science for Kids | Tiny Sparks</t>
        </is>
      </c>
      <c r="J349" s="15" t="inlineStr">
        <is>
          <t>6–8</t>
        </is>
      </c>
      <c r="K349" s="15" t="inlineStr">
        <is>
          <t>Short 9:16</t>
        </is>
      </c>
      <c r="L349" s="15" t="inlineStr">
        <is>
          <t>45–60 s</t>
        </is>
      </c>
      <c r="M349" s="15" t="inlineStr">
        <is>
          <t>Prof. Hoot + Leo (wrong guess) + Mila</t>
        </is>
      </c>
      <c r="N349" s="15" t="inlineStr">
        <is>
          <t>Answer simply: Why Do We Need Muscles?</t>
        </is>
      </c>
      <c r="O349" s="15" t="inlineStr">
        <is>
          <t>Yes</t>
        </is>
      </c>
      <c r="P349" s="15" t="inlineStr">
        <is>
          <t>P2</t>
        </is>
      </c>
      <c r="Q349" s="15" t="inlineStr">
        <is>
          <t>Idea</t>
        </is>
      </c>
      <c r="R349" s="48">
        <f>INDEX('Start Here'!$B$10:$B$16,WEEKDAY(C349,2))</f>
        <v/>
      </c>
      <c r="S349" s="48">
        <f>MOD(R349+'Start Here'!$B$6/24,1)</f>
        <v/>
      </c>
      <c r="T349" s="15" t="n"/>
      <c r="U349" s="15" t="n"/>
      <c r="V349" s="15" t="n"/>
      <c r="W349" s="15" t="n"/>
      <c r="X349" s="20" t="n"/>
      <c r="Y349" s="15" t="n"/>
    </row>
    <row r="350">
      <c r="A350" s="15" t="n">
        <v>349</v>
      </c>
      <c r="B350" s="16">
        <f>INT((A350-1)/7)+1</f>
        <v/>
      </c>
      <c r="C350" s="47">
        <f>'Start Here'!$B$5+A350-1</f>
        <v/>
      </c>
      <c r="D350" s="16">
        <f>TEXT(C350,"ddd")</f>
        <v/>
      </c>
      <c r="E350" s="15" t="inlineStr">
        <is>
          <t>Puzzle Saturday</t>
        </is>
      </c>
      <c r="F350" s="25" t="inlineStr">
        <is>
          <t>🧩 Puzzles &amp; Problem-Solving</t>
        </is>
      </c>
      <c r="G350" s="15" t="n">
        <v>50</v>
      </c>
      <c r="H350" s="15" t="inlineStr">
        <is>
          <t>Guess the Mystery Animal</t>
        </is>
      </c>
      <c r="I350" s="15" t="inlineStr">
        <is>
          <t>Guess the Mystery Animal 🧩 | Brain Games for Kids | Tiny Sparks</t>
        </is>
      </c>
      <c r="J350" s="15" t="inlineStr">
        <is>
          <t>3–5</t>
        </is>
      </c>
      <c r="K350" s="15" t="inlineStr">
        <is>
          <t>Long 16:9</t>
        </is>
      </c>
      <c r="L350" s="15" t="inlineStr">
        <is>
          <t>4–8 min</t>
        </is>
      </c>
      <c r="M350" s="15" t="inlineStr">
        <is>
          <t>Prof. Hoot + Leo + score strip</t>
        </is>
      </c>
      <c r="N350" s="15" t="inlineStr">
        <is>
          <t>Thinking skill: reasoning</t>
        </is>
      </c>
      <c r="O350" s="15" t="inlineStr">
        <is>
          <t>Yes</t>
        </is>
      </c>
      <c r="P350" s="15" t="inlineStr">
        <is>
          <t>P2</t>
        </is>
      </c>
      <c r="Q350" s="15" t="inlineStr">
        <is>
          <t>Idea</t>
        </is>
      </c>
      <c r="R350" s="48">
        <f>INDEX('Start Here'!$B$10:$B$16,WEEKDAY(C350,2))</f>
        <v/>
      </c>
      <c r="S350" s="48">
        <f>MOD(R350+'Start Here'!$B$6/24,1)</f>
        <v/>
      </c>
      <c r="T350" s="15" t="n"/>
      <c r="U350" s="15" t="n"/>
      <c r="V350" s="15" t="n"/>
      <c r="W350" s="15" t="n"/>
      <c r="X350" s="20" t="n"/>
      <c r="Y350" s="15" t="n"/>
    </row>
    <row r="351">
      <c r="A351" s="15" t="n">
        <v>350</v>
      </c>
      <c r="B351" s="16">
        <f>INT((A351-1)/7)+1</f>
        <v/>
      </c>
      <c r="C351" s="47">
        <f>'Start Here'!$B$5+A351-1</f>
        <v/>
      </c>
      <c r="D351" s="16">
        <f>TEXT(C351,"ddd")</f>
        <v/>
      </c>
      <c r="E351" s="15" t="inlineStr">
        <is>
          <t>Song Sunday</t>
        </is>
      </c>
      <c r="F351" s="26" t="inlineStr">
        <is>
          <t>🎵 Educational Songs</t>
        </is>
      </c>
      <c r="G351" s="15" t="n">
        <v>50</v>
      </c>
      <c r="H351" s="15" t="inlineStr">
        <is>
          <t>French Food Song</t>
        </is>
      </c>
      <c r="I351" s="15" t="inlineStr">
        <is>
          <t>French Food Song 🎵 | Kids Songs | Tiny Sparks</t>
        </is>
      </c>
      <c r="J351" s="15" t="inlineStr">
        <is>
          <t>3–5</t>
        </is>
      </c>
      <c r="K351" s="15" t="inlineStr">
        <is>
          <t>Long 16:9 + Short cut</t>
        </is>
      </c>
      <c r="L351" s="15" t="inlineStr">
        <is>
          <t>2–3 min (Short: 45 s chorus)</t>
        </is>
      </c>
      <c r="M351" s="15" t="inlineStr">
        <is>
          <t>Mila sings, all dance</t>
        </is>
      </c>
      <c r="N351" s="15" t="inlineStr">
        <is>
          <t>Sing &amp; learn: French Food</t>
        </is>
      </c>
      <c r="O351" s="15" t="inlineStr">
        <is>
          <t>Yes</t>
        </is>
      </c>
      <c r="P351" s="15" t="inlineStr">
        <is>
          <t>P2</t>
        </is>
      </c>
      <c r="Q351" s="15" t="inlineStr">
        <is>
          <t>Idea</t>
        </is>
      </c>
      <c r="R351" s="48">
        <f>INDEX('Start Here'!$B$10:$B$16,WEEKDAY(C351,2))</f>
        <v/>
      </c>
      <c r="S351" s="48">
        <f>MOD(R351+'Start Here'!$B$6/24,1)</f>
        <v/>
      </c>
      <c r="T351" s="15" t="n"/>
      <c r="U351" s="15" t="n"/>
      <c r="V351" s="15" t="n"/>
      <c r="W351" s="15" t="n"/>
      <c r="X351" s="20" t="n"/>
      <c r="Y351" s="15" t="n"/>
    </row>
    <row r="352">
      <c r="A352" s="15" t="n">
        <v>351</v>
      </c>
      <c r="B352" s="16">
        <f>INT((A352-1)/7)+1</f>
        <v/>
      </c>
      <c r="C352" s="47">
        <f>'Start Here'!$B$5+A352-1</f>
        <v/>
      </c>
      <c r="D352" s="16">
        <f>TEXT(C352,"ddd")</f>
        <v/>
      </c>
      <c r="E352" s="15" t="inlineStr">
        <is>
          <t>Story Monday</t>
        </is>
      </c>
      <c r="F352" s="18" t="inlineStr">
        <is>
          <t>🧠 Educational Stories</t>
        </is>
      </c>
      <c r="G352" s="15" t="n">
        <v>26</v>
      </c>
      <c r="H352" s="15" t="inlineStr">
        <is>
          <t>The Rainy Day Problem</t>
        </is>
      </c>
      <c r="I352" s="15" t="inlineStr">
        <is>
          <t>The Rainy Day Problem 🧠 | Kids Stories | Tiny Sparks</t>
        </is>
      </c>
      <c r="J352" s="15" t="inlineStr">
        <is>
          <t>3–5</t>
        </is>
      </c>
      <c r="K352" s="15" t="inlineStr">
        <is>
          <t>Long 16:9 + Short teaser</t>
        </is>
      </c>
      <c r="L352" s="15" t="inlineStr">
        <is>
          <t>3–5 min (Short: 50 s)</t>
        </is>
      </c>
      <c r="M352" s="15" t="inlineStr">
        <is>
          <t>Mila, Leo, Bobo + narrator</t>
        </is>
      </c>
      <c r="N352" s="15" t="inlineStr">
        <is>
          <t>Curiosity + problem solving</t>
        </is>
      </c>
      <c r="O352" s="15" t="inlineStr">
        <is>
          <t>Yes</t>
        </is>
      </c>
      <c r="P352" s="15" t="inlineStr">
        <is>
          <t>P2</t>
        </is>
      </c>
      <c r="Q352" s="15" t="inlineStr">
        <is>
          <t>Idea</t>
        </is>
      </c>
      <c r="R352" s="48">
        <f>INDEX('Start Here'!$B$10:$B$16,WEEKDAY(C352,2))</f>
        <v/>
      </c>
      <c r="S352" s="48">
        <f>MOD(R352+'Start Here'!$B$6/24,1)</f>
        <v/>
      </c>
      <c r="T352" s="15" t="n"/>
      <c r="U352" s="15" t="n"/>
      <c r="V352" s="15" t="n"/>
      <c r="W352" s="15" t="n"/>
      <c r="X352" s="20" t="n"/>
      <c r="Y352" s="15" t="n"/>
    </row>
    <row r="353">
      <c r="A353" s="15" t="n">
        <v>352</v>
      </c>
      <c r="B353" s="16">
        <f>INT((A353-1)/7)+1</f>
        <v/>
      </c>
      <c r="C353" s="47">
        <f>'Start Here'!$B$5+A353-1</f>
        <v/>
      </c>
      <c r="D353" s="16">
        <f>TEXT(C353,"ddd")</f>
        <v/>
      </c>
      <c r="E353" s="15" t="inlineStr">
        <is>
          <t>Math Tuesday</t>
        </is>
      </c>
      <c r="F353" s="21" t="inlineStr">
        <is>
          <t>🔢 Numbers &amp; Math</t>
        </is>
      </c>
      <c r="G353" s="15" t="n">
        <v>51</v>
      </c>
      <c r="H353" s="15" t="inlineStr">
        <is>
          <t>Learn Basic Shapes</t>
        </is>
      </c>
      <c r="I353" s="15" t="inlineStr">
        <is>
          <t>Learn Basic Shapes 🔢 | Learn Math for Kids | Tiny Sparks</t>
        </is>
      </c>
      <c r="J353" s="15" t="inlineStr">
        <is>
          <t>3–5</t>
        </is>
      </c>
      <c r="K353" s="15" t="inlineStr">
        <is>
          <t>Short 9:16</t>
        </is>
      </c>
      <c r="L353" s="15" t="inlineStr">
        <is>
          <t>45–60 s</t>
        </is>
      </c>
      <c r="M353" s="15" t="inlineStr">
        <is>
          <t>Bobo + Mila (counting fingers)</t>
        </is>
      </c>
      <c r="N353" s="15" t="inlineStr">
        <is>
          <t>Math: Learn Basic Shapes</t>
        </is>
      </c>
      <c r="O353" s="15" t="inlineStr">
        <is>
          <t>Yes</t>
        </is>
      </c>
      <c r="P353" s="15" t="inlineStr">
        <is>
          <t>P2</t>
        </is>
      </c>
      <c r="Q353" s="15" t="inlineStr">
        <is>
          <t>Idea</t>
        </is>
      </c>
      <c r="R353" s="48">
        <f>INDEX('Start Here'!$B$10:$B$16,WEEKDAY(C353,2))</f>
        <v/>
      </c>
      <c r="S353" s="48">
        <f>MOD(R353+'Start Here'!$B$6/24,1)</f>
        <v/>
      </c>
      <c r="T353" s="15" t="n"/>
      <c r="U353" s="15" t="n"/>
      <c r="V353" s="15" t="n"/>
      <c r="W353" s="15" t="n"/>
      <c r="X353" s="20" t="n"/>
      <c r="Y353" s="15" t="n"/>
    </row>
    <row r="354">
      <c r="A354" s="15" t="n">
        <v>353</v>
      </c>
      <c r="B354" s="16">
        <f>INT((A354-1)/7)+1</f>
        <v/>
      </c>
      <c r="C354" s="47">
        <f>'Start Here'!$B$5+A354-1</f>
        <v/>
      </c>
      <c r="D354" s="16">
        <f>TEXT(C354,"ddd")</f>
        <v/>
      </c>
      <c r="E354" s="15" t="inlineStr">
        <is>
          <t>Word Wednesday</t>
        </is>
      </c>
      <c r="F354" s="22" t="inlineStr">
        <is>
          <t>🔤 English/French Words</t>
        </is>
      </c>
      <c r="G354" s="15" t="n">
        <v>51</v>
      </c>
      <c r="H354" s="15" t="inlineStr">
        <is>
          <t>"Hello" in English and French</t>
        </is>
      </c>
      <c r="I354" s="15" t="inlineStr">
        <is>
          <t>"Hello" in English and French 🔤 | Kids Vocabulary | Tiny Sparks</t>
        </is>
      </c>
      <c r="J354" s="15" t="inlineStr">
        <is>
          <t>3–5</t>
        </is>
      </c>
      <c r="K354" s="15" t="inlineStr">
        <is>
          <t>Short 9:16</t>
        </is>
      </c>
      <c r="L354" s="15" t="inlineStr">
        <is>
          <t>45–60 s</t>
        </is>
      </c>
      <c r="M354" s="15" t="inlineStr">
        <is>
          <t>Mila + French narrator</t>
        </is>
      </c>
      <c r="N354" s="15" t="inlineStr">
        <is>
          <t>Vocabulary EN→FR: "Hello"</t>
        </is>
      </c>
      <c r="O354" s="15" t="inlineStr">
        <is>
          <t>Yes</t>
        </is>
      </c>
      <c r="P354" s="15" t="inlineStr">
        <is>
          <t>P2</t>
        </is>
      </c>
      <c r="Q354" s="15" t="inlineStr">
        <is>
          <t>Idea</t>
        </is>
      </c>
      <c r="R354" s="48">
        <f>INDEX('Start Here'!$B$10:$B$16,WEEKDAY(C354,2))</f>
        <v/>
      </c>
      <c r="S354" s="48">
        <f>MOD(R354+'Start Here'!$B$6/24,1)</f>
        <v/>
      </c>
      <c r="T354" s="15" t="n"/>
      <c r="U354" s="15" t="n"/>
      <c r="V354" s="15" t="n"/>
      <c r="W354" s="15" t="n"/>
      <c r="X354" s="20" t="n"/>
      <c r="Y354" s="15" t="n"/>
    </row>
    <row r="355">
      <c r="A355" s="15" t="n">
        <v>354</v>
      </c>
      <c r="B355" s="16">
        <f>INT((A355-1)/7)+1</f>
        <v/>
      </c>
      <c r="C355" s="47">
        <f>'Start Here'!$B$5+A355-1</f>
        <v/>
      </c>
      <c r="D355" s="16">
        <f>TEXT(C355,"ddd")</f>
        <v/>
      </c>
      <c r="E355" s="15" t="inlineStr">
        <is>
          <t>Animal Thursday</t>
        </is>
      </c>
      <c r="F355" s="23" t="inlineStr">
        <is>
          <t>🦁 Animal Stories</t>
        </is>
      </c>
      <c r="G355" s="15" t="n">
        <v>51</v>
      </c>
      <c r="H355" s="15" t="inlineStr">
        <is>
          <t>Animal School: First Day</t>
        </is>
      </c>
      <c r="I355" s="15" t="inlineStr">
        <is>
          <t>Animal School: First Day 🦁 | Animal Stories for Kids | Tiny Sparks</t>
        </is>
      </c>
      <c r="J355" s="15" t="inlineStr">
        <is>
          <t>3–5</t>
        </is>
      </c>
      <c r="K355" s="15" t="inlineStr">
        <is>
          <t>Long 16:9 + Short teaser</t>
        </is>
      </c>
      <c r="L355" s="15" t="inlineStr">
        <is>
          <t>3–5 min (Short: 50 s)</t>
        </is>
      </c>
      <c r="M355" s="15" t="inlineStr">
        <is>
          <t>guest animal(s) + Bobo</t>
        </is>
      </c>
      <c r="N355" s="15" t="inlineStr">
        <is>
          <t>Story + 3 true animal facts; value: friendship</t>
        </is>
      </c>
      <c r="O355" s="15" t="inlineStr">
        <is>
          <t>Yes</t>
        </is>
      </c>
      <c r="P355" s="15" t="inlineStr">
        <is>
          <t>P2</t>
        </is>
      </c>
      <c r="Q355" s="15" t="inlineStr">
        <is>
          <t>Idea</t>
        </is>
      </c>
      <c r="R355" s="48">
        <f>INDEX('Start Here'!$B$10:$B$16,WEEKDAY(C355,2))</f>
        <v/>
      </c>
      <c r="S355" s="48">
        <f>MOD(R355+'Start Here'!$B$6/24,1)</f>
        <v/>
      </c>
      <c r="T355" s="15" t="n"/>
      <c r="U355" s="15" t="n"/>
      <c r="V355" s="15" t="n"/>
      <c r="W355" s="15" t="n"/>
      <c r="X355" s="20" t="n"/>
      <c r="Y355" s="15" t="n"/>
    </row>
    <row r="356">
      <c r="A356" s="15" t="n">
        <v>355</v>
      </c>
      <c r="B356" s="16">
        <f>INT((A356-1)/7)+1</f>
        <v/>
      </c>
      <c r="C356" s="47">
        <f>'Start Here'!$B$5+A356-1</f>
        <v/>
      </c>
      <c r="D356" s="16">
        <f>TEXT(C356,"ddd")</f>
        <v/>
      </c>
      <c r="E356" s="15" t="inlineStr">
        <is>
          <t>Science Friday</t>
        </is>
      </c>
      <c r="F356" s="24" t="inlineStr">
        <is>
          <t>🚀 Science for Kids</t>
        </is>
      </c>
      <c r="G356" s="15" t="n">
        <v>51</v>
      </c>
      <c r="H356" s="15" t="inlineStr">
        <is>
          <t>What Is a Dinosaur?</t>
        </is>
      </c>
      <c r="I356" s="15" t="inlineStr">
        <is>
          <t>What Is a Dinosaur? 🚀 | Science for Kids | Tiny Sparks</t>
        </is>
      </c>
      <c r="J356" s="15" t="inlineStr">
        <is>
          <t>6–8</t>
        </is>
      </c>
      <c r="K356" s="15" t="inlineStr">
        <is>
          <t>Short 9:16</t>
        </is>
      </c>
      <c r="L356" s="15" t="inlineStr">
        <is>
          <t>45–60 s</t>
        </is>
      </c>
      <c r="M356" s="15" t="inlineStr">
        <is>
          <t>Prof. Hoot + Leo (wrong guess) + Mila</t>
        </is>
      </c>
      <c r="N356" s="15" t="inlineStr">
        <is>
          <t>Answer simply: What Is a Dinosaur?</t>
        </is>
      </c>
      <c r="O356" s="15" t="inlineStr">
        <is>
          <t>Build first: dinosaur</t>
        </is>
      </c>
      <c r="P356" s="15" t="inlineStr">
        <is>
          <t>P2</t>
        </is>
      </c>
      <c r="Q356" s="15" t="inlineStr">
        <is>
          <t>Idea</t>
        </is>
      </c>
      <c r="R356" s="48">
        <f>INDEX('Start Here'!$B$10:$B$16,WEEKDAY(C356,2))</f>
        <v/>
      </c>
      <c r="S356" s="48">
        <f>MOD(R356+'Start Here'!$B$6/24,1)</f>
        <v/>
      </c>
      <c r="T356" s="15" t="n"/>
      <c r="U356" s="15" t="n"/>
      <c r="V356" s="15" t="n"/>
      <c r="W356" s="15" t="n"/>
      <c r="X356" s="20" t="n"/>
      <c r="Y356" s="15" t="n"/>
    </row>
    <row r="357">
      <c r="A357" s="15" t="n">
        <v>356</v>
      </c>
      <c r="B357" s="16">
        <f>INT((A357-1)/7)+1</f>
        <v/>
      </c>
      <c r="C357" s="47">
        <f>'Start Here'!$B$5+A357-1</f>
        <v/>
      </c>
      <c r="D357" s="16">
        <f>TEXT(C357,"ddd")</f>
        <v/>
      </c>
      <c r="E357" s="15" t="inlineStr">
        <is>
          <t>Puzzle Saturday</t>
        </is>
      </c>
      <c r="F357" s="25" t="inlineStr">
        <is>
          <t>🧩 Puzzles &amp; Problem-Solving</t>
        </is>
      </c>
      <c r="G357" s="15" t="n">
        <v>51</v>
      </c>
      <c r="H357" s="15" t="inlineStr">
        <is>
          <t>Easy Riddles for Kids</t>
        </is>
      </c>
      <c r="I357" s="15" t="inlineStr">
        <is>
          <t>Easy Riddles for Kids 🧩 | Brain Games for Kids | Tiny Sparks</t>
        </is>
      </c>
      <c r="J357" s="15" t="inlineStr">
        <is>
          <t>6–8</t>
        </is>
      </c>
      <c r="K357" s="15" t="inlineStr">
        <is>
          <t>Short 9:16</t>
        </is>
      </c>
      <c r="L357" s="15" t="inlineStr">
        <is>
          <t>45–60 s</t>
        </is>
      </c>
      <c r="M357" s="15" t="inlineStr">
        <is>
          <t>Prof. Hoot + Leo + score strip</t>
        </is>
      </c>
      <c r="N357" s="15" t="inlineStr">
        <is>
          <t>Thinking skill: reasoning</t>
        </is>
      </c>
      <c r="O357" s="15" t="inlineStr">
        <is>
          <t>Yes</t>
        </is>
      </c>
      <c r="P357" s="15" t="inlineStr">
        <is>
          <t>P2</t>
        </is>
      </c>
      <c r="Q357" s="15" t="inlineStr">
        <is>
          <t>Idea</t>
        </is>
      </c>
      <c r="R357" s="48">
        <f>INDEX('Start Here'!$B$10:$B$16,WEEKDAY(C357,2))</f>
        <v/>
      </c>
      <c r="S357" s="48">
        <f>MOD(R357+'Start Here'!$B$6/24,1)</f>
        <v/>
      </c>
      <c r="T357" s="15" t="n"/>
      <c r="U357" s="15" t="n"/>
      <c r="V357" s="15" t="n"/>
      <c r="W357" s="15" t="n"/>
      <c r="X357" s="20" t="n"/>
      <c r="Y357" s="15" t="n"/>
    </row>
    <row r="358">
      <c r="A358" s="15" t="n">
        <v>357</v>
      </c>
      <c r="B358" s="16">
        <f>INT((A358-1)/7)+1</f>
        <v/>
      </c>
      <c r="C358" s="47">
        <f>'Start Here'!$B$5+A358-1</f>
        <v/>
      </c>
      <c r="D358" s="16">
        <f>TEXT(C358,"ddd")</f>
        <v/>
      </c>
      <c r="E358" s="15" t="inlineStr">
        <is>
          <t>Song Sunday</t>
        </is>
      </c>
      <c r="F358" s="26" t="inlineStr">
        <is>
          <t>🎵 Educational Songs</t>
        </is>
      </c>
      <c r="G358" s="15" t="n">
        <v>51</v>
      </c>
      <c r="H358" s="15" t="inlineStr">
        <is>
          <t>Head, Shoulders and Body Parts — Original Song</t>
        </is>
      </c>
      <c r="I358" s="15" t="inlineStr">
        <is>
          <t>Head, Shoulders and Body Parts — Original Song 🎵 | Kids Songs | Tiny Sparks</t>
        </is>
      </c>
      <c r="J358" s="15" t="inlineStr">
        <is>
          <t>3–5</t>
        </is>
      </c>
      <c r="K358" s="15" t="inlineStr">
        <is>
          <t>Long 16:9 + Short cut</t>
        </is>
      </c>
      <c r="L358" s="15" t="inlineStr">
        <is>
          <t>2–3 min (Short: 45 s chorus)</t>
        </is>
      </c>
      <c r="M358" s="15" t="inlineStr">
        <is>
          <t>Mila sings, all dance</t>
        </is>
      </c>
      <c r="N358" s="15" t="inlineStr">
        <is>
          <t>Sing &amp; learn: Head, Shoulders and Body Parts — Original</t>
        </is>
      </c>
      <c r="O358" s="15" t="inlineStr">
        <is>
          <t>Yes</t>
        </is>
      </c>
      <c r="P358" s="15" t="inlineStr">
        <is>
          <t>P2</t>
        </is>
      </c>
      <c r="Q358" s="15" t="inlineStr">
        <is>
          <t>Idea</t>
        </is>
      </c>
      <c r="R358" s="48">
        <f>INDEX('Start Here'!$B$10:$B$16,WEEKDAY(C358,2))</f>
        <v/>
      </c>
      <c r="S358" s="48">
        <f>MOD(R358+'Start Here'!$B$6/24,1)</f>
        <v/>
      </c>
      <c r="T358" s="15" t="n"/>
      <c r="U358" s="15" t="n"/>
      <c r="V358" s="15" t="n"/>
      <c r="W358" s="15" t="n"/>
      <c r="X358" s="20" t="n"/>
      <c r="Y358" s="15" t="n"/>
    </row>
    <row r="359">
      <c r="A359" s="15" t="n">
        <v>358</v>
      </c>
      <c r="B359" s="16">
        <f>INT((A359-1)/7)+1</f>
        <v/>
      </c>
      <c r="C359" s="47">
        <f>'Start Here'!$B$5+A359-1</f>
        <v/>
      </c>
      <c r="D359" s="16">
        <f>TEXT(C359,"ddd")</f>
        <v/>
      </c>
      <c r="E359" s="15" t="inlineStr">
        <is>
          <t>Story Monday</t>
        </is>
      </c>
      <c r="F359" s="27" t="inlineStr">
        <is>
          <t>📚 Moral Stories</t>
        </is>
      </c>
      <c r="G359" s="15" t="n">
        <v>26</v>
      </c>
      <c r="H359" s="15" t="inlineStr">
        <is>
          <t>The Boy Who Never Listened</t>
        </is>
      </c>
      <c r="I359" s="15" t="inlineStr">
        <is>
          <t>The Boy Who Never Listened 📚 | Moral Stories for Kids | Tiny Sparks</t>
        </is>
      </c>
      <c r="J359" s="15" t="inlineStr">
        <is>
          <t>3–5</t>
        </is>
      </c>
      <c r="K359" s="15" t="inlineStr">
        <is>
          <t>Long 16:9 + Short teaser</t>
        </is>
      </c>
      <c r="L359" s="15" t="inlineStr">
        <is>
          <t>3–5 min (Short: 50 s)</t>
        </is>
      </c>
      <c r="M359" s="15" t="inlineStr">
        <is>
          <t>narrator + guest animals / Mila &amp; Leo</t>
        </is>
      </c>
      <c r="N359" s="15" t="inlineStr">
        <is>
          <t>Value: listening</t>
        </is>
      </c>
      <c r="O359" s="15" t="inlineStr">
        <is>
          <t>Yes</t>
        </is>
      </c>
      <c r="P359" s="15" t="inlineStr">
        <is>
          <t>P2</t>
        </is>
      </c>
      <c r="Q359" s="15" t="inlineStr">
        <is>
          <t>Idea</t>
        </is>
      </c>
      <c r="R359" s="48">
        <f>INDEX('Start Here'!$B$10:$B$16,WEEKDAY(C359,2))</f>
        <v/>
      </c>
      <c r="S359" s="48">
        <f>MOD(R359+'Start Here'!$B$6/24,1)</f>
        <v/>
      </c>
      <c r="T359" s="15" t="n"/>
      <c r="U359" s="15" t="n"/>
      <c r="V359" s="15" t="n"/>
      <c r="W359" s="15" t="n"/>
      <c r="X359" s="20" t="n"/>
      <c r="Y359" s="15" t="n"/>
    </row>
    <row r="360">
      <c r="A360" s="15" t="n">
        <v>359</v>
      </c>
      <c r="B360" s="16">
        <f>INT((A360-1)/7)+1</f>
        <v/>
      </c>
      <c r="C360" s="47">
        <f>'Start Here'!$B$5+A360-1</f>
        <v/>
      </c>
      <c r="D360" s="16">
        <f>TEXT(C360,"ddd")</f>
        <v/>
      </c>
      <c r="E360" s="15" t="inlineStr">
        <is>
          <t>Math Tuesday</t>
        </is>
      </c>
      <c r="F360" s="21" t="inlineStr">
        <is>
          <t>🔢 Numbers &amp; Math</t>
        </is>
      </c>
      <c r="G360" s="15" t="n">
        <v>52</v>
      </c>
      <c r="H360" s="15" t="inlineStr">
        <is>
          <t>Circle, Square and Triangle</t>
        </is>
      </c>
      <c r="I360" s="15" t="inlineStr">
        <is>
          <t>Circle, Square and Triangle 🔢 | Learn Math for Kids | Tiny Sparks</t>
        </is>
      </c>
      <c r="J360" s="15" t="inlineStr">
        <is>
          <t>3–5</t>
        </is>
      </c>
      <c r="K360" s="15" t="inlineStr">
        <is>
          <t>Short 9:16</t>
        </is>
      </c>
      <c r="L360" s="15" t="inlineStr">
        <is>
          <t>45–60 s</t>
        </is>
      </c>
      <c r="M360" s="15" t="inlineStr">
        <is>
          <t>Bobo + Mila (counting fingers)</t>
        </is>
      </c>
      <c r="N360" s="15" t="inlineStr">
        <is>
          <t>Math: Circle, Square and Triangle</t>
        </is>
      </c>
      <c r="O360" s="15" t="inlineStr">
        <is>
          <t>Yes</t>
        </is>
      </c>
      <c r="P360" s="15" t="inlineStr">
        <is>
          <t>P2</t>
        </is>
      </c>
      <c r="Q360" s="15" t="inlineStr">
        <is>
          <t>Idea</t>
        </is>
      </c>
      <c r="R360" s="48">
        <f>INDEX('Start Here'!$B$10:$B$16,WEEKDAY(C360,2))</f>
        <v/>
      </c>
      <c r="S360" s="48">
        <f>MOD(R360+'Start Here'!$B$6/24,1)</f>
        <v/>
      </c>
      <c r="T360" s="15" t="n"/>
      <c r="U360" s="15" t="n"/>
      <c r="V360" s="15" t="n"/>
      <c r="W360" s="15" t="n"/>
      <c r="X360" s="20" t="n"/>
      <c r="Y360" s="15" t="n"/>
    </row>
    <row r="361">
      <c r="A361" s="15" t="n">
        <v>360</v>
      </c>
      <c r="B361" s="16">
        <f>INT((A361-1)/7)+1</f>
        <v/>
      </c>
      <c r="C361" s="47">
        <f>'Start Here'!$B$5+A361-1</f>
        <v/>
      </c>
      <c r="D361" s="16">
        <f>TEXT(C361,"ddd")</f>
        <v/>
      </c>
      <c r="E361" s="15" t="inlineStr">
        <is>
          <t>Word Wednesday</t>
        </is>
      </c>
      <c r="F361" s="22" t="inlineStr">
        <is>
          <t>🔤 English/French Words</t>
        </is>
      </c>
      <c r="G361" s="15" t="n">
        <v>52</v>
      </c>
      <c r="H361" s="15" t="inlineStr">
        <is>
          <t>Saying Your Name</t>
        </is>
      </c>
      <c r="I361" s="15" t="inlineStr">
        <is>
          <t>Saying Your Name 🔤 | Kids Vocabulary | Tiny Sparks</t>
        </is>
      </c>
      <c r="J361" s="15" t="inlineStr">
        <is>
          <t>3–5</t>
        </is>
      </c>
      <c r="K361" s="15" t="inlineStr">
        <is>
          <t>Short 9:16</t>
        </is>
      </c>
      <c r="L361" s="15" t="inlineStr">
        <is>
          <t>45–60 s</t>
        </is>
      </c>
      <c r="M361" s="15" t="inlineStr">
        <is>
          <t>Mila + French narrator</t>
        </is>
      </c>
      <c r="N361" s="15" t="inlineStr">
        <is>
          <t>Vocabulary EN→FR: Saying Your Name</t>
        </is>
      </c>
      <c r="O361" s="15" t="inlineStr">
        <is>
          <t>Yes</t>
        </is>
      </c>
      <c r="P361" s="15" t="inlineStr">
        <is>
          <t>P2</t>
        </is>
      </c>
      <c r="Q361" s="15" t="inlineStr">
        <is>
          <t>Idea</t>
        </is>
      </c>
      <c r="R361" s="48">
        <f>INDEX('Start Here'!$B$10:$B$16,WEEKDAY(C361,2))</f>
        <v/>
      </c>
      <c r="S361" s="48">
        <f>MOD(R361+'Start Here'!$B$6/24,1)</f>
        <v/>
      </c>
      <c r="T361" s="15" t="n"/>
      <c r="U361" s="15" t="n"/>
      <c r="V361" s="15" t="n"/>
      <c r="W361" s="15" t="n"/>
      <c r="X361" s="20" t="n"/>
      <c r="Y361" s="15" t="n"/>
    </row>
    <row r="362">
      <c r="A362" s="15" t="n">
        <v>361</v>
      </c>
      <c r="B362" s="16">
        <f>INT((A362-1)/7)+1</f>
        <v/>
      </c>
      <c r="C362" s="47">
        <f>'Start Here'!$B$5+A362-1</f>
        <v/>
      </c>
      <c r="D362" s="16">
        <f>TEXT(C362,"ddd")</f>
        <v/>
      </c>
      <c r="E362" s="15" t="inlineStr">
        <is>
          <t>Animal Thursday</t>
        </is>
      </c>
      <c r="F362" s="23" t="inlineStr">
        <is>
          <t>🦁 Animal Stories</t>
        </is>
      </c>
      <c r="G362" s="15" t="n">
        <v>52</v>
      </c>
      <c r="H362" s="15" t="inlineStr">
        <is>
          <t>Animal School: Math Class</t>
        </is>
      </c>
      <c r="I362" s="15" t="inlineStr">
        <is>
          <t>Animal School: Math Class 🦁 | Animal Stories for Kids | Tiny Sparks</t>
        </is>
      </c>
      <c r="J362" s="15" t="inlineStr">
        <is>
          <t>3–5</t>
        </is>
      </c>
      <c r="K362" s="15" t="inlineStr">
        <is>
          <t>Long 16:9 + Short teaser</t>
        </is>
      </c>
      <c r="L362" s="15" t="inlineStr">
        <is>
          <t>3–5 min (Short: 50 s)</t>
        </is>
      </c>
      <c r="M362" s="15" t="inlineStr">
        <is>
          <t>guest animal(s) + Bobo</t>
        </is>
      </c>
      <c r="N362" s="15" t="inlineStr">
        <is>
          <t>Story + 3 true animal facts; value: friendship</t>
        </is>
      </c>
      <c r="O362" s="15" t="inlineStr">
        <is>
          <t>Yes</t>
        </is>
      </c>
      <c r="P362" s="15" t="inlineStr">
        <is>
          <t>P2</t>
        </is>
      </c>
      <c r="Q362" s="15" t="inlineStr">
        <is>
          <t>Idea</t>
        </is>
      </c>
      <c r="R362" s="48">
        <f>INDEX('Start Here'!$B$10:$B$16,WEEKDAY(C362,2))</f>
        <v/>
      </c>
      <c r="S362" s="48">
        <f>MOD(R362+'Start Here'!$B$6/24,1)</f>
        <v/>
      </c>
      <c r="T362" s="15" t="n"/>
      <c r="U362" s="15" t="n"/>
      <c r="V362" s="15" t="n"/>
      <c r="W362" s="15" t="n"/>
      <c r="X362" s="20" t="n"/>
      <c r="Y362" s="15" t="n"/>
    </row>
    <row r="363">
      <c r="A363" s="15" t="n">
        <v>362</v>
      </c>
      <c r="B363" s="16">
        <f>INT((A363-1)/7)+1</f>
        <v/>
      </c>
      <c r="C363" s="47">
        <f>'Start Here'!$B$5+A363-1</f>
        <v/>
      </c>
      <c r="D363" s="16">
        <f>TEXT(C363,"ddd")</f>
        <v/>
      </c>
      <c r="E363" s="15" t="inlineStr">
        <is>
          <t>Science Friday</t>
        </is>
      </c>
      <c r="F363" s="24" t="inlineStr">
        <is>
          <t>🚀 Science for Kids</t>
        </is>
      </c>
      <c r="G363" s="15" t="n">
        <v>52</v>
      </c>
      <c r="H363" s="15" t="inlineStr">
        <is>
          <t>Why Did Dinosaurs Disappear?</t>
        </is>
      </c>
      <c r="I363" s="15" t="inlineStr">
        <is>
          <t>Why Did Dinosaurs Disappear? 🚀 | Science for Kids | Tiny Sparks</t>
        </is>
      </c>
      <c r="J363" s="15" t="inlineStr">
        <is>
          <t>6–8</t>
        </is>
      </c>
      <c r="K363" s="15" t="inlineStr">
        <is>
          <t>Short 9:16</t>
        </is>
      </c>
      <c r="L363" s="15" t="inlineStr">
        <is>
          <t>45–60 s</t>
        </is>
      </c>
      <c r="M363" s="15" t="inlineStr">
        <is>
          <t>Prof. Hoot + Leo (wrong guess) + Mila</t>
        </is>
      </c>
      <c r="N363" s="15" t="inlineStr">
        <is>
          <t>Answer simply: Why Did Dinosaurs Disappear?</t>
        </is>
      </c>
      <c r="O363" s="15" t="inlineStr">
        <is>
          <t>Build first: dinosaurs</t>
        </is>
      </c>
      <c r="P363" s="15" t="inlineStr">
        <is>
          <t>P2</t>
        </is>
      </c>
      <c r="Q363" s="15" t="inlineStr">
        <is>
          <t>Idea</t>
        </is>
      </c>
      <c r="R363" s="48">
        <f>INDEX('Start Here'!$B$10:$B$16,WEEKDAY(C363,2))</f>
        <v/>
      </c>
      <c r="S363" s="48">
        <f>MOD(R363+'Start Here'!$B$6/24,1)</f>
        <v/>
      </c>
      <c r="T363" s="15" t="n"/>
      <c r="U363" s="15" t="n"/>
      <c r="V363" s="15" t="n"/>
      <c r="W363" s="15" t="n"/>
      <c r="X363" s="20" t="n"/>
      <c r="Y363" s="15" t="n"/>
    </row>
    <row r="364">
      <c r="A364" s="15" t="n">
        <v>363</v>
      </c>
      <c r="B364" s="16">
        <f>INT((A364-1)/7)+1</f>
        <v/>
      </c>
      <c r="C364" s="47">
        <f>'Start Here'!$B$5+A364-1</f>
        <v/>
      </c>
      <c r="D364" s="16">
        <f>TEXT(C364,"ddd")</f>
        <v/>
      </c>
      <c r="E364" s="15" t="inlineStr">
        <is>
          <t>Puzzle Saturday</t>
        </is>
      </c>
      <c r="F364" s="25" t="inlineStr">
        <is>
          <t>🧩 Puzzles &amp; Problem-Solving</t>
        </is>
      </c>
      <c r="G364" s="15" t="n">
        <v>52</v>
      </c>
      <c r="H364" s="15" t="inlineStr">
        <is>
          <t>Animal Riddles</t>
        </is>
      </c>
      <c r="I364" s="15" t="inlineStr">
        <is>
          <t>Animal Riddles 🧩 | Brain Games for Kids | Tiny Sparks</t>
        </is>
      </c>
      <c r="J364" s="15" t="inlineStr">
        <is>
          <t>6–8</t>
        </is>
      </c>
      <c r="K364" s="15" t="inlineStr">
        <is>
          <t>Short 9:16</t>
        </is>
      </c>
      <c r="L364" s="15" t="inlineStr">
        <is>
          <t>45–60 s</t>
        </is>
      </c>
      <c r="M364" s="15" t="inlineStr">
        <is>
          <t>Prof. Hoot + Leo + score strip</t>
        </is>
      </c>
      <c r="N364" s="15" t="inlineStr">
        <is>
          <t>Thinking skill: reasoning</t>
        </is>
      </c>
      <c r="O364" s="15" t="inlineStr">
        <is>
          <t>Yes</t>
        </is>
      </c>
      <c r="P364" s="15" t="inlineStr">
        <is>
          <t>P2</t>
        </is>
      </c>
      <c r="Q364" s="15" t="inlineStr">
        <is>
          <t>Idea</t>
        </is>
      </c>
      <c r="R364" s="48">
        <f>INDEX('Start Here'!$B$10:$B$16,WEEKDAY(C364,2))</f>
        <v/>
      </c>
      <c r="S364" s="48">
        <f>MOD(R364+'Start Here'!$B$6/24,1)</f>
        <v/>
      </c>
      <c r="T364" s="15" t="n"/>
      <c r="U364" s="15" t="n"/>
      <c r="V364" s="15" t="n"/>
      <c r="W364" s="15" t="n"/>
      <c r="X364" s="20" t="n"/>
      <c r="Y364" s="15" t="n"/>
    </row>
    <row r="365">
      <c r="A365" s="15" t="n">
        <v>364</v>
      </c>
      <c r="B365" s="16">
        <f>INT((A365-1)/7)+1</f>
        <v/>
      </c>
      <c r="C365" s="47">
        <f>'Start Here'!$B$5+A365-1</f>
        <v/>
      </c>
      <c r="D365" s="16">
        <f>TEXT(C365,"ddd")</f>
        <v/>
      </c>
      <c r="E365" s="15" t="inlineStr">
        <is>
          <t>Song Sunday</t>
        </is>
      </c>
      <c r="F365" s="26" t="inlineStr">
        <is>
          <t>🎵 Educational Songs</t>
        </is>
      </c>
      <c r="G365" s="15" t="n">
        <v>52</v>
      </c>
      <c r="H365" s="15" t="inlineStr">
        <is>
          <t>Wash Your Hands Song</t>
        </is>
      </c>
      <c r="I365" s="15" t="inlineStr">
        <is>
          <t>Wash Your Hands Song 🎵 | Kids Songs | Tiny Sparks</t>
        </is>
      </c>
      <c r="J365" s="15" t="inlineStr">
        <is>
          <t>3–5</t>
        </is>
      </c>
      <c r="K365" s="15" t="inlineStr">
        <is>
          <t>Long 16:9 + Short cut</t>
        </is>
      </c>
      <c r="L365" s="15" t="inlineStr">
        <is>
          <t>2–3 min (Short: 45 s chorus)</t>
        </is>
      </c>
      <c r="M365" s="15" t="inlineStr">
        <is>
          <t>Mila sings, all dance</t>
        </is>
      </c>
      <c r="N365" s="15" t="inlineStr">
        <is>
          <t>Sing &amp; learn: Wash Your Hands</t>
        </is>
      </c>
      <c r="O365" s="15" t="inlineStr">
        <is>
          <t>Yes</t>
        </is>
      </c>
      <c r="P365" s="15" t="inlineStr">
        <is>
          <t>P2</t>
        </is>
      </c>
      <c r="Q365" s="15" t="inlineStr">
        <is>
          <t>Idea</t>
        </is>
      </c>
      <c r="R365" s="48">
        <f>INDEX('Start Here'!$B$10:$B$16,WEEKDAY(C365,2))</f>
        <v/>
      </c>
      <c r="S365" s="48">
        <f>MOD(R365+'Start Here'!$B$6/24,1)</f>
        <v/>
      </c>
      <c r="T365" s="15" t="n"/>
      <c r="U365" s="15" t="n"/>
      <c r="V365" s="15" t="n"/>
      <c r="W365" s="15" t="n"/>
      <c r="X365" s="20" t="n"/>
      <c r="Y365" s="15" t="n"/>
    </row>
    <row r="366">
      <c r="A366" s="15" t="n">
        <v>365</v>
      </c>
      <c r="B366" s="16">
        <f>INT((A366-1)/7)+1</f>
        <v/>
      </c>
      <c r="C366" s="47">
        <f>'Start Here'!$B$5+A366-1</f>
        <v/>
      </c>
      <c r="D366" s="16">
        <f>TEXT(C366,"ddd")</f>
        <v/>
      </c>
      <c r="E366" s="15" t="inlineStr">
        <is>
          <t>Story Monday</t>
        </is>
      </c>
      <c r="F366" s="18" t="inlineStr">
        <is>
          <t>🧠 Educational Stories</t>
        </is>
      </c>
      <c r="G366" s="15" t="n">
        <v>27</v>
      </c>
      <c r="H366" s="15" t="inlineStr">
        <is>
          <t>The Magic Library Adventure</t>
        </is>
      </c>
      <c r="I366" s="15" t="inlineStr">
        <is>
          <t>The Magic Library Adventure 🧠 | Kids Stories | Tiny Sparks</t>
        </is>
      </c>
      <c r="J366" s="15" t="inlineStr">
        <is>
          <t>3–5</t>
        </is>
      </c>
      <c r="K366" s="15" t="inlineStr">
        <is>
          <t>Long 16:9 + Short teaser</t>
        </is>
      </c>
      <c r="L366" s="15" t="inlineStr">
        <is>
          <t>3–5 min (Short: 50 s)</t>
        </is>
      </c>
      <c r="M366" s="15" t="inlineStr">
        <is>
          <t>Mila, Leo, Bobo + narrator</t>
        </is>
      </c>
      <c r="N366" s="15" t="inlineStr">
        <is>
          <t>Curiosity + problem solving</t>
        </is>
      </c>
      <c r="O366" s="15" t="inlineStr">
        <is>
          <t>Yes</t>
        </is>
      </c>
      <c r="P366" s="15" t="inlineStr">
        <is>
          <t>P2</t>
        </is>
      </c>
      <c r="Q366" s="15" t="inlineStr">
        <is>
          <t>Idea</t>
        </is>
      </c>
      <c r="R366" s="48">
        <f>INDEX('Start Here'!$B$10:$B$16,WEEKDAY(C366,2))</f>
        <v/>
      </c>
      <c r="S366" s="48">
        <f>MOD(R366+'Start Here'!$B$6/24,1)</f>
        <v/>
      </c>
      <c r="T366" s="15" t="n"/>
      <c r="U366" s="15" t="n"/>
      <c r="V366" s="15" t="n"/>
      <c r="W366" s="15" t="n"/>
      <c r="X366" s="20" t="n"/>
      <c r="Y366" s="15" t="n"/>
    </row>
    <row r="367">
      <c r="A367" s="15" t="n">
        <v>366</v>
      </c>
      <c r="B367" s="16">
        <f>INT((A367-1)/7)+1</f>
        <v/>
      </c>
      <c r="C367" s="47">
        <f>'Start Here'!$B$5+A367-1</f>
        <v/>
      </c>
      <c r="D367" s="16">
        <f>TEXT(C367,"ddd")</f>
        <v/>
      </c>
      <c r="E367" s="15" t="inlineStr">
        <is>
          <t>Math Tuesday</t>
        </is>
      </c>
      <c r="F367" s="21" t="inlineStr">
        <is>
          <t>🔢 Numbers &amp; Math</t>
        </is>
      </c>
      <c r="G367" s="15" t="n">
        <v>53</v>
      </c>
      <c r="H367" s="15" t="inlineStr">
        <is>
          <t>Rectangle and Oval</t>
        </is>
      </c>
      <c r="I367" s="15" t="inlineStr">
        <is>
          <t>Rectangle and Oval 🔢 | Learn Math for Kids | Tiny Sparks</t>
        </is>
      </c>
      <c r="J367" s="15" t="inlineStr">
        <is>
          <t>3–5</t>
        </is>
      </c>
      <c r="K367" s="15" t="inlineStr">
        <is>
          <t>Short 9:16</t>
        </is>
      </c>
      <c r="L367" s="15" t="inlineStr">
        <is>
          <t>45–60 s</t>
        </is>
      </c>
      <c r="M367" s="15" t="inlineStr">
        <is>
          <t>Bobo + Mila (counting fingers)</t>
        </is>
      </c>
      <c r="N367" s="15" t="inlineStr">
        <is>
          <t>Math: Rectangle and Oval</t>
        </is>
      </c>
      <c r="O367" s="15" t="inlineStr">
        <is>
          <t>Yes</t>
        </is>
      </c>
      <c r="P367" s="15" t="inlineStr">
        <is>
          <t>P3</t>
        </is>
      </c>
      <c r="Q367" s="15" t="inlineStr">
        <is>
          <t>Idea</t>
        </is>
      </c>
      <c r="R367" s="48">
        <f>INDEX('Start Here'!$B$10:$B$16,WEEKDAY(C367,2))</f>
        <v/>
      </c>
      <c r="S367" s="48">
        <f>MOD(R367+'Start Here'!$B$6/24,1)</f>
        <v/>
      </c>
      <c r="T367" s="15" t="n"/>
      <c r="U367" s="15" t="n"/>
      <c r="V367" s="15" t="n"/>
      <c r="W367" s="15" t="n"/>
      <c r="X367" s="20" t="n"/>
      <c r="Y367" s="15" t="n"/>
    </row>
    <row r="368">
      <c r="A368" s="15" t="n">
        <v>367</v>
      </c>
      <c r="B368" s="16">
        <f>INT((A368-1)/7)+1</f>
        <v/>
      </c>
      <c r="C368" s="47">
        <f>'Start Here'!$B$5+A368-1</f>
        <v/>
      </c>
      <c r="D368" s="16">
        <f>TEXT(C368,"ddd")</f>
        <v/>
      </c>
      <c r="E368" s="15" t="inlineStr">
        <is>
          <t>Word Wednesday</t>
        </is>
      </c>
      <c r="F368" s="22" t="inlineStr">
        <is>
          <t>🔤 English/French Words</t>
        </is>
      </c>
      <c r="G368" s="15" t="n">
        <v>53</v>
      </c>
      <c r="H368" s="15" t="inlineStr">
        <is>
          <t>Saying Your Age</t>
        </is>
      </c>
      <c r="I368" s="15" t="inlineStr">
        <is>
          <t>Saying Your Age 🔤 | Kids Vocabulary | Tiny Sparks</t>
        </is>
      </c>
      <c r="J368" s="15" t="inlineStr">
        <is>
          <t>3–5</t>
        </is>
      </c>
      <c r="K368" s="15" t="inlineStr">
        <is>
          <t>Short 9:16</t>
        </is>
      </c>
      <c r="L368" s="15" t="inlineStr">
        <is>
          <t>45–60 s</t>
        </is>
      </c>
      <c r="M368" s="15" t="inlineStr">
        <is>
          <t>Mila + French narrator</t>
        </is>
      </c>
      <c r="N368" s="15" t="inlineStr">
        <is>
          <t>Vocabulary EN→FR: Saying Your Age</t>
        </is>
      </c>
      <c r="O368" s="15" t="inlineStr">
        <is>
          <t>Yes</t>
        </is>
      </c>
      <c r="P368" s="15" t="inlineStr">
        <is>
          <t>P3</t>
        </is>
      </c>
      <c r="Q368" s="15" t="inlineStr">
        <is>
          <t>Idea</t>
        </is>
      </c>
      <c r="R368" s="48">
        <f>INDEX('Start Here'!$B$10:$B$16,WEEKDAY(C368,2))</f>
        <v/>
      </c>
      <c r="S368" s="48">
        <f>MOD(R368+'Start Here'!$B$6/24,1)</f>
        <v/>
      </c>
      <c r="T368" s="15" t="n"/>
      <c r="U368" s="15" t="n"/>
      <c r="V368" s="15" t="n"/>
      <c r="W368" s="15" t="n"/>
      <c r="X368" s="20" t="n"/>
      <c r="Y368" s="15" t="n"/>
    </row>
    <row r="369">
      <c r="A369" s="15" t="n">
        <v>368</v>
      </c>
      <c r="B369" s="16">
        <f>INT((A369-1)/7)+1</f>
        <v/>
      </c>
      <c r="C369" s="47">
        <f>'Start Here'!$B$5+A369-1</f>
        <v/>
      </c>
      <c r="D369" s="16">
        <f>TEXT(C369,"ddd")</f>
        <v/>
      </c>
      <c r="E369" s="15" t="inlineStr">
        <is>
          <t>Animal Thursday</t>
        </is>
      </c>
      <c r="F369" s="23" t="inlineStr">
        <is>
          <t>🦁 Animal Stories</t>
        </is>
      </c>
      <c r="G369" s="15" t="n">
        <v>53</v>
      </c>
      <c r="H369" s="15" t="inlineStr">
        <is>
          <t>Animal School: Science Class</t>
        </is>
      </c>
      <c r="I369" s="15" t="inlineStr">
        <is>
          <t>Animal School: Science Class 🦁 | Animal Stories for Kids | Tiny Sparks</t>
        </is>
      </c>
      <c r="J369" s="15" t="inlineStr">
        <is>
          <t>6–8</t>
        </is>
      </c>
      <c r="K369" s="15" t="inlineStr">
        <is>
          <t>Long 16:9 + Short teaser</t>
        </is>
      </c>
      <c r="L369" s="15" t="inlineStr">
        <is>
          <t>3–5 min (Short: 50 s)</t>
        </is>
      </c>
      <c r="M369" s="15" t="inlineStr">
        <is>
          <t>guest animal(s) + Bobo</t>
        </is>
      </c>
      <c r="N369" s="15" t="inlineStr">
        <is>
          <t>Story + 3 true animal facts; value: friendship</t>
        </is>
      </c>
      <c r="O369" s="15" t="inlineStr">
        <is>
          <t>Yes</t>
        </is>
      </c>
      <c r="P369" s="15" t="inlineStr">
        <is>
          <t>P3</t>
        </is>
      </c>
      <c r="Q369" s="15" t="inlineStr">
        <is>
          <t>Idea</t>
        </is>
      </c>
      <c r="R369" s="48">
        <f>INDEX('Start Here'!$B$10:$B$16,WEEKDAY(C369,2))</f>
        <v/>
      </c>
      <c r="S369" s="48">
        <f>MOD(R369+'Start Here'!$B$6/24,1)</f>
        <v/>
      </c>
      <c r="T369" s="15" t="n"/>
      <c r="U369" s="15" t="n"/>
      <c r="V369" s="15" t="n"/>
      <c r="W369" s="15" t="n"/>
      <c r="X369" s="20" t="n"/>
      <c r="Y369" s="15" t="n"/>
    </row>
    <row r="370">
      <c r="A370" s="15" t="n">
        <v>369</v>
      </c>
      <c r="B370" s="16">
        <f>INT((A370-1)/7)+1</f>
        <v/>
      </c>
      <c r="C370" s="47">
        <f>'Start Here'!$B$5+A370-1</f>
        <v/>
      </c>
      <c r="D370" s="16">
        <f>TEXT(C370,"ddd")</f>
        <v/>
      </c>
      <c r="E370" s="15" t="inlineStr">
        <is>
          <t>Science Friday</t>
        </is>
      </c>
      <c r="F370" s="24" t="inlineStr">
        <is>
          <t>🚀 Science for Kids</t>
        </is>
      </c>
      <c r="G370" s="15" t="n">
        <v>53</v>
      </c>
      <c r="H370" s="15" t="inlineStr">
        <is>
          <t>What Were T-Rex Teeth Like?</t>
        </is>
      </c>
      <c r="I370" s="15" t="inlineStr">
        <is>
          <t>What Were T-Rex Teeth Like? 🚀 | Science for Kids | Tiny Sparks</t>
        </is>
      </c>
      <c r="J370" s="15" t="inlineStr">
        <is>
          <t>3–5</t>
        </is>
      </c>
      <c r="K370" s="15" t="inlineStr">
        <is>
          <t>Short 9:16</t>
        </is>
      </c>
      <c r="L370" s="15" t="inlineStr">
        <is>
          <t>45–60 s</t>
        </is>
      </c>
      <c r="M370" s="15" t="inlineStr">
        <is>
          <t>Prof. Hoot + Leo (wrong guess) + Mila</t>
        </is>
      </c>
      <c r="N370" s="15" t="inlineStr">
        <is>
          <t>Answer simply: What Were T-Rex Teeth Like?</t>
        </is>
      </c>
      <c r="O370" s="15" t="inlineStr">
        <is>
          <t>Build first: t-rex</t>
        </is>
      </c>
      <c r="P370" s="15" t="inlineStr">
        <is>
          <t>P3</t>
        </is>
      </c>
      <c r="Q370" s="15" t="inlineStr">
        <is>
          <t>Idea</t>
        </is>
      </c>
      <c r="R370" s="48">
        <f>INDEX('Start Here'!$B$10:$B$16,WEEKDAY(C370,2))</f>
        <v/>
      </c>
      <c r="S370" s="48">
        <f>MOD(R370+'Start Here'!$B$6/24,1)</f>
        <v/>
      </c>
      <c r="T370" s="15" t="n"/>
      <c r="U370" s="15" t="n"/>
      <c r="V370" s="15" t="n"/>
      <c r="W370" s="15" t="n"/>
      <c r="X370" s="20" t="n"/>
      <c r="Y370" s="15" t="n"/>
    </row>
    <row r="371">
      <c r="A371" s="15" t="n">
        <v>370</v>
      </c>
      <c r="B371" s="16">
        <f>INT((A371-1)/7)+1</f>
        <v/>
      </c>
      <c r="C371" s="47">
        <f>'Start Here'!$B$5+A371-1</f>
        <v/>
      </c>
      <c r="D371" s="16">
        <f>TEXT(C371,"ddd")</f>
        <v/>
      </c>
      <c r="E371" s="15" t="inlineStr">
        <is>
          <t>Puzzle Saturday</t>
        </is>
      </c>
      <c r="F371" s="25" t="inlineStr">
        <is>
          <t>🧩 Puzzles &amp; Problem-Solving</t>
        </is>
      </c>
      <c r="G371" s="15" t="n">
        <v>53</v>
      </c>
      <c r="H371" s="15" t="inlineStr">
        <is>
          <t>Food Riddles</t>
        </is>
      </c>
      <c r="I371" s="15" t="inlineStr">
        <is>
          <t>Food Riddles 🧩 | Brain Games for Kids | Tiny Sparks</t>
        </is>
      </c>
      <c r="J371" s="15" t="inlineStr">
        <is>
          <t>6–8</t>
        </is>
      </c>
      <c r="K371" s="15" t="inlineStr">
        <is>
          <t>Short 9:16</t>
        </is>
      </c>
      <c r="L371" s="15" t="inlineStr">
        <is>
          <t>45–60 s</t>
        </is>
      </c>
      <c r="M371" s="15" t="inlineStr">
        <is>
          <t>Prof. Hoot + Leo + score strip</t>
        </is>
      </c>
      <c r="N371" s="15" t="inlineStr">
        <is>
          <t>Thinking skill: reasoning</t>
        </is>
      </c>
      <c r="O371" s="15" t="inlineStr">
        <is>
          <t>Yes</t>
        </is>
      </c>
      <c r="P371" s="15" t="inlineStr">
        <is>
          <t>P3</t>
        </is>
      </c>
      <c r="Q371" s="15" t="inlineStr">
        <is>
          <t>Idea</t>
        </is>
      </c>
      <c r="R371" s="48">
        <f>INDEX('Start Here'!$B$10:$B$16,WEEKDAY(C371,2))</f>
        <v/>
      </c>
      <c r="S371" s="48">
        <f>MOD(R371+'Start Here'!$B$6/24,1)</f>
        <v/>
      </c>
      <c r="T371" s="15" t="n"/>
      <c r="U371" s="15" t="n"/>
      <c r="V371" s="15" t="n"/>
      <c r="W371" s="15" t="n"/>
      <c r="X371" s="20" t="n"/>
      <c r="Y371" s="15" t="n"/>
    </row>
    <row r="372">
      <c r="A372" s="15" t="n">
        <v>371</v>
      </c>
      <c r="B372" s="16">
        <f>INT((A372-1)/7)+1</f>
        <v/>
      </c>
      <c r="C372" s="47">
        <f>'Start Here'!$B$5+A372-1</f>
        <v/>
      </c>
      <c r="D372" s="16">
        <f>TEXT(C372,"ddd")</f>
        <v/>
      </c>
      <c r="E372" s="15" t="inlineStr">
        <is>
          <t>Song Sunday</t>
        </is>
      </c>
      <c r="F372" s="26" t="inlineStr">
        <is>
          <t>🎵 Educational Songs</t>
        </is>
      </c>
      <c r="G372" s="15" t="n">
        <v>53</v>
      </c>
      <c r="H372" s="15" t="inlineStr">
        <is>
          <t>Brush Your Teeth Song</t>
        </is>
      </c>
      <c r="I372" s="15" t="inlineStr">
        <is>
          <t>Brush Your Teeth Song 🎵 | Kids Songs | Tiny Sparks</t>
        </is>
      </c>
      <c r="J372" s="15" t="inlineStr">
        <is>
          <t>3–5</t>
        </is>
      </c>
      <c r="K372" s="15" t="inlineStr">
        <is>
          <t>Long 16:9 + Short cut</t>
        </is>
      </c>
      <c r="L372" s="15" t="inlineStr">
        <is>
          <t>2–3 min (Short: 45 s chorus)</t>
        </is>
      </c>
      <c r="M372" s="15" t="inlineStr">
        <is>
          <t>Mila sings, all dance</t>
        </is>
      </c>
      <c r="N372" s="15" t="inlineStr">
        <is>
          <t>Sing &amp; learn: Brush Your Teeth</t>
        </is>
      </c>
      <c r="O372" s="15" t="inlineStr">
        <is>
          <t>Yes</t>
        </is>
      </c>
      <c r="P372" s="15" t="inlineStr">
        <is>
          <t>P3</t>
        </is>
      </c>
      <c r="Q372" s="15" t="inlineStr">
        <is>
          <t>Idea</t>
        </is>
      </c>
      <c r="R372" s="48">
        <f>INDEX('Start Here'!$B$10:$B$16,WEEKDAY(C372,2))</f>
        <v/>
      </c>
      <c r="S372" s="48">
        <f>MOD(R372+'Start Here'!$B$6/24,1)</f>
        <v/>
      </c>
      <c r="T372" s="15" t="n"/>
      <c r="U372" s="15" t="n"/>
      <c r="V372" s="15" t="n"/>
      <c r="W372" s="15" t="n"/>
      <c r="X372" s="20" t="n"/>
      <c r="Y372" s="15" t="n"/>
    </row>
    <row r="373">
      <c r="A373" s="15" t="n">
        <v>372</v>
      </c>
      <c r="B373" s="16">
        <f>INT((A373-1)/7)+1</f>
        <v/>
      </c>
      <c r="C373" s="47">
        <f>'Start Here'!$B$5+A373-1</f>
        <v/>
      </c>
      <c r="D373" s="16">
        <f>TEXT(C373,"ddd")</f>
        <v/>
      </c>
      <c r="E373" s="15" t="inlineStr">
        <is>
          <t>Story Monday</t>
        </is>
      </c>
      <c r="F373" s="27" t="inlineStr">
        <is>
          <t>📚 Moral Stories</t>
        </is>
      </c>
      <c r="G373" s="15" t="n">
        <v>27</v>
      </c>
      <c r="H373" s="15" t="inlineStr">
        <is>
          <t>The Girl Who Learned Patience</t>
        </is>
      </c>
      <c r="I373" s="15" t="inlineStr">
        <is>
          <t>The Girl Who Learned Patience 📚 | Moral Stories for Kids | Tiny Sparks</t>
        </is>
      </c>
      <c r="J373" s="15" t="inlineStr">
        <is>
          <t>3–5</t>
        </is>
      </c>
      <c r="K373" s="15" t="inlineStr">
        <is>
          <t>Long 16:9 + Short teaser</t>
        </is>
      </c>
      <c r="L373" s="15" t="inlineStr">
        <is>
          <t>3–5 min (Short: 50 s)</t>
        </is>
      </c>
      <c r="M373" s="15" t="inlineStr">
        <is>
          <t>narrator + guest animals / Mila &amp; Leo</t>
        </is>
      </c>
      <c r="N373" s="15" t="inlineStr">
        <is>
          <t>Value: patience</t>
        </is>
      </c>
      <c r="O373" s="15" t="inlineStr">
        <is>
          <t>Yes</t>
        </is>
      </c>
      <c r="P373" s="15" t="inlineStr">
        <is>
          <t>P3</t>
        </is>
      </c>
      <c r="Q373" s="15" t="inlineStr">
        <is>
          <t>Idea</t>
        </is>
      </c>
      <c r="R373" s="48">
        <f>INDEX('Start Here'!$B$10:$B$16,WEEKDAY(C373,2))</f>
        <v/>
      </c>
      <c r="S373" s="48">
        <f>MOD(R373+'Start Here'!$B$6/24,1)</f>
        <v/>
      </c>
      <c r="T373" s="15" t="n"/>
      <c r="U373" s="15" t="n"/>
      <c r="V373" s="15" t="n"/>
      <c r="W373" s="15" t="n"/>
      <c r="X373" s="20" t="n"/>
      <c r="Y373" s="15" t="n"/>
    </row>
    <row r="374">
      <c r="A374" s="15" t="n">
        <v>373</v>
      </c>
      <c r="B374" s="16">
        <f>INT((A374-1)/7)+1</f>
        <v/>
      </c>
      <c r="C374" s="47">
        <f>'Start Here'!$B$5+A374-1</f>
        <v/>
      </c>
      <c r="D374" s="16">
        <f>TEXT(C374,"ddd")</f>
        <v/>
      </c>
      <c r="E374" s="15" t="inlineStr">
        <is>
          <t>Math Tuesday</t>
        </is>
      </c>
      <c r="F374" s="21" t="inlineStr">
        <is>
          <t>🔢 Numbers &amp; Math</t>
        </is>
      </c>
      <c r="G374" s="15" t="n">
        <v>54</v>
      </c>
      <c r="H374" s="15" t="inlineStr">
        <is>
          <t>Shape Matching Game</t>
        </is>
      </c>
      <c r="I374" s="15" t="inlineStr">
        <is>
          <t>Shape Matching Game 🔢 | Learn Math for Kids | Tiny Sparks</t>
        </is>
      </c>
      <c r="J374" s="15" t="inlineStr">
        <is>
          <t>3–5</t>
        </is>
      </c>
      <c r="K374" s="15" t="inlineStr">
        <is>
          <t>Long 16:9</t>
        </is>
      </c>
      <c r="L374" s="15" t="inlineStr">
        <is>
          <t>4–8 min</t>
        </is>
      </c>
      <c r="M374" s="15" t="inlineStr">
        <is>
          <t>Bobo + Mila (counting fingers)</t>
        </is>
      </c>
      <c r="N374" s="15" t="inlineStr">
        <is>
          <t>Math: Shape Matching Game</t>
        </is>
      </c>
      <c r="O374" s="15" t="inlineStr">
        <is>
          <t>Yes</t>
        </is>
      </c>
      <c r="P374" s="15" t="inlineStr">
        <is>
          <t>P3</t>
        </is>
      </c>
      <c r="Q374" s="15" t="inlineStr">
        <is>
          <t>Idea</t>
        </is>
      </c>
      <c r="R374" s="48">
        <f>INDEX('Start Here'!$B$10:$B$16,WEEKDAY(C374,2))</f>
        <v/>
      </c>
      <c r="S374" s="48">
        <f>MOD(R374+'Start Here'!$B$6/24,1)</f>
        <v/>
      </c>
      <c r="T374" s="15" t="n"/>
      <c r="U374" s="15" t="n"/>
      <c r="V374" s="15" t="n"/>
      <c r="W374" s="15" t="n"/>
      <c r="X374" s="20" t="n"/>
      <c r="Y374" s="15" t="n"/>
    </row>
    <row r="375">
      <c r="A375" s="15" t="n">
        <v>374</v>
      </c>
      <c r="B375" s="16">
        <f>INT((A375-1)/7)+1</f>
        <v/>
      </c>
      <c r="C375" s="47">
        <f>'Start Here'!$B$5+A375-1</f>
        <v/>
      </c>
      <c r="D375" s="16">
        <f>TEXT(C375,"ddd")</f>
        <v/>
      </c>
      <c r="E375" s="15" t="inlineStr">
        <is>
          <t>Word Wednesday</t>
        </is>
      </c>
      <c r="F375" s="22" t="inlineStr">
        <is>
          <t>🔤 English/French Words</t>
        </is>
      </c>
      <c r="G375" s="15" t="n">
        <v>54</v>
      </c>
      <c r="H375" s="15" t="inlineStr">
        <is>
          <t>Asking "How Are You?"</t>
        </is>
      </c>
      <c r="I375" s="15" t="inlineStr">
        <is>
          <t>Asking "How Are You?" 🔤 | Kids Vocabulary | Tiny Sparks</t>
        </is>
      </c>
      <c r="J375" s="15" t="inlineStr">
        <is>
          <t>6–8</t>
        </is>
      </c>
      <c r="K375" s="15" t="inlineStr">
        <is>
          <t>Short 9:16</t>
        </is>
      </c>
      <c r="L375" s="15" t="inlineStr">
        <is>
          <t>45–60 s</t>
        </is>
      </c>
      <c r="M375" s="15" t="inlineStr">
        <is>
          <t>Mila + French narrator</t>
        </is>
      </c>
      <c r="N375" s="15" t="inlineStr">
        <is>
          <t>Vocabulary EN→FR: Asking "How Are You?"</t>
        </is>
      </c>
      <c r="O375" s="15" t="inlineStr">
        <is>
          <t>Yes</t>
        </is>
      </c>
      <c r="P375" s="15" t="inlineStr">
        <is>
          <t>P3</t>
        </is>
      </c>
      <c r="Q375" s="15" t="inlineStr">
        <is>
          <t>Idea</t>
        </is>
      </c>
      <c r="R375" s="48">
        <f>INDEX('Start Here'!$B$10:$B$16,WEEKDAY(C375,2))</f>
        <v/>
      </c>
      <c r="S375" s="48">
        <f>MOD(R375+'Start Here'!$B$6/24,1)</f>
        <v/>
      </c>
      <c r="T375" s="15" t="n"/>
      <c r="U375" s="15" t="n"/>
      <c r="V375" s="15" t="n"/>
      <c r="W375" s="15" t="n"/>
      <c r="X375" s="20" t="n"/>
      <c r="Y375" s="15" t="n"/>
    </row>
    <row r="376">
      <c r="A376" s="15" t="n">
        <v>375</v>
      </c>
      <c r="B376" s="16">
        <f>INT((A376-1)/7)+1</f>
        <v/>
      </c>
      <c r="C376" s="47">
        <f>'Start Here'!$B$5+A376-1</f>
        <v/>
      </c>
      <c r="D376" s="16">
        <f>TEXT(C376,"ddd")</f>
        <v/>
      </c>
      <c r="E376" s="15" t="inlineStr">
        <is>
          <t>Animal Thursday</t>
        </is>
      </c>
      <c r="F376" s="23" t="inlineStr">
        <is>
          <t>🦁 Animal Stories</t>
        </is>
      </c>
      <c r="G376" s="15" t="n">
        <v>54</v>
      </c>
      <c r="H376" s="15" t="inlineStr">
        <is>
          <t>Animal School: Sports Day</t>
        </is>
      </c>
      <c r="I376" s="15" t="inlineStr">
        <is>
          <t>Animal School: Sports Day 🦁 | Animal Stories for Kids | Tiny Sparks</t>
        </is>
      </c>
      <c r="J376" s="15" t="inlineStr">
        <is>
          <t>3–5</t>
        </is>
      </c>
      <c r="K376" s="15" t="inlineStr">
        <is>
          <t>Long 16:9 + Short teaser</t>
        </is>
      </c>
      <c r="L376" s="15" t="inlineStr">
        <is>
          <t>3–5 min (Short: 50 s)</t>
        </is>
      </c>
      <c r="M376" s="15" t="inlineStr">
        <is>
          <t>guest animal(s) + Bobo</t>
        </is>
      </c>
      <c r="N376" s="15" t="inlineStr">
        <is>
          <t>Story + 3 true animal facts; value: friendship</t>
        </is>
      </c>
      <c r="O376" s="15" t="inlineStr">
        <is>
          <t>Yes</t>
        </is>
      </c>
      <c r="P376" s="15" t="inlineStr">
        <is>
          <t>P3</t>
        </is>
      </c>
      <c r="Q376" s="15" t="inlineStr">
        <is>
          <t>Idea</t>
        </is>
      </c>
      <c r="R376" s="48">
        <f>INDEX('Start Here'!$B$10:$B$16,WEEKDAY(C376,2))</f>
        <v/>
      </c>
      <c r="S376" s="48">
        <f>MOD(R376+'Start Here'!$B$6/24,1)</f>
        <v/>
      </c>
      <c r="T376" s="15" t="n"/>
      <c r="U376" s="15" t="n"/>
      <c r="V376" s="15" t="n"/>
      <c r="W376" s="15" t="n"/>
      <c r="X376" s="20" t="n"/>
      <c r="Y376" s="15" t="n"/>
    </row>
    <row r="377">
      <c r="A377" s="15" t="n">
        <v>376</v>
      </c>
      <c r="B377" s="16">
        <f>INT((A377-1)/7)+1</f>
        <v/>
      </c>
      <c r="C377" s="47">
        <f>'Start Here'!$B$5+A377-1</f>
        <v/>
      </c>
      <c r="D377" s="16">
        <f>TEXT(C377,"ddd")</f>
        <v/>
      </c>
      <c r="E377" s="15" t="inlineStr">
        <is>
          <t>Science Friday</t>
        </is>
      </c>
      <c r="F377" s="24" t="inlineStr">
        <is>
          <t>🚀 Science for Kids</t>
        </is>
      </c>
      <c r="G377" s="15" t="n">
        <v>54</v>
      </c>
      <c r="H377" s="15" t="inlineStr">
        <is>
          <t>The Biggest Dinosaurs</t>
        </is>
      </c>
      <c r="I377" s="15" t="inlineStr">
        <is>
          <t>The Biggest Dinosaurs 🚀 | Science for Kids | Tiny Sparks</t>
        </is>
      </c>
      <c r="J377" s="15" t="inlineStr">
        <is>
          <t>6–8</t>
        </is>
      </c>
      <c r="K377" s="15" t="inlineStr">
        <is>
          <t>Short 9:16</t>
        </is>
      </c>
      <c r="L377" s="15" t="inlineStr">
        <is>
          <t>45–60 s</t>
        </is>
      </c>
      <c r="M377" s="15" t="inlineStr">
        <is>
          <t>Prof. Hoot + Leo (wrong guess) + Mila</t>
        </is>
      </c>
      <c r="N377" s="15" t="inlineStr">
        <is>
          <t>Answer simply: The Biggest Dinosaurs</t>
        </is>
      </c>
      <c r="O377" s="15" t="inlineStr">
        <is>
          <t>Build first: dinosaurs</t>
        </is>
      </c>
      <c r="P377" s="15" t="inlineStr">
        <is>
          <t>P3</t>
        </is>
      </c>
      <c r="Q377" s="15" t="inlineStr">
        <is>
          <t>Idea</t>
        </is>
      </c>
      <c r="R377" s="48">
        <f>INDEX('Start Here'!$B$10:$B$16,WEEKDAY(C377,2))</f>
        <v/>
      </c>
      <c r="S377" s="48">
        <f>MOD(R377+'Start Here'!$B$6/24,1)</f>
        <v/>
      </c>
      <c r="T377" s="15" t="n"/>
      <c r="U377" s="15" t="n"/>
      <c r="V377" s="15" t="n"/>
      <c r="W377" s="15" t="n"/>
      <c r="X377" s="20" t="n"/>
      <c r="Y377" s="15" t="n"/>
    </row>
    <row r="378">
      <c r="A378" s="15" t="n">
        <v>377</v>
      </c>
      <c r="B378" s="16">
        <f>INT((A378-1)/7)+1</f>
        <v/>
      </c>
      <c r="C378" s="47">
        <f>'Start Here'!$B$5+A378-1</f>
        <v/>
      </c>
      <c r="D378" s="16">
        <f>TEXT(C378,"ddd")</f>
        <v/>
      </c>
      <c r="E378" s="15" t="inlineStr">
        <is>
          <t>Puzzle Saturday</t>
        </is>
      </c>
      <c r="F378" s="25" t="inlineStr">
        <is>
          <t>🧩 Puzzles &amp; Problem-Solving</t>
        </is>
      </c>
      <c r="G378" s="15" t="n">
        <v>54</v>
      </c>
      <c r="H378" s="15" t="inlineStr">
        <is>
          <t>School Riddles</t>
        </is>
      </c>
      <c r="I378" s="15" t="inlineStr">
        <is>
          <t>School Riddles 🧩 | Brain Games for Kids | Tiny Sparks</t>
        </is>
      </c>
      <c r="J378" s="15" t="inlineStr">
        <is>
          <t>6–8</t>
        </is>
      </c>
      <c r="K378" s="15" t="inlineStr">
        <is>
          <t>Short 9:16</t>
        </is>
      </c>
      <c r="L378" s="15" t="inlineStr">
        <is>
          <t>45–60 s</t>
        </is>
      </c>
      <c r="M378" s="15" t="inlineStr">
        <is>
          <t>Prof. Hoot + Leo + score strip</t>
        </is>
      </c>
      <c r="N378" s="15" t="inlineStr">
        <is>
          <t>Thinking skill: reasoning</t>
        </is>
      </c>
      <c r="O378" s="15" t="inlineStr">
        <is>
          <t>Yes</t>
        </is>
      </c>
      <c r="P378" s="15" t="inlineStr">
        <is>
          <t>P3</t>
        </is>
      </c>
      <c r="Q378" s="15" t="inlineStr">
        <is>
          <t>Idea</t>
        </is>
      </c>
      <c r="R378" s="48">
        <f>INDEX('Start Here'!$B$10:$B$16,WEEKDAY(C378,2))</f>
        <v/>
      </c>
      <c r="S378" s="48">
        <f>MOD(R378+'Start Here'!$B$6/24,1)</f>
        <v/>
      </c>
      <c r="T378" s="15" t="n"/>
      <c r="U378" s="15" t="n"/>
      <c r="V378" s="15" t="n"/>
      <c r="W378" s="15" t="n"/>
      <c r="X378" s="20" t="n"/>
      <c r="Y378" s="15" t="n"/>
    </row>
    <row r="379">
      <c r="A379" s="15" t="n">
        <v>378</v>
      </c>
      <c r="B379" s="16">
        <f>INT((A379-1)/7)+1</f>
        <v/>
      </c>
      <c r="C379" s="47">
        <f>'Start Here'!$B$5+A379-1</f>
        <v/>
      </c>
      <c r="D379" s="16">
        <f>TEXT(C379,"ddd")</f>
        <v/>
      </c>
      <c r="E379" s="15" t="inlineStr">
        <is>
          <t>Song Sunday</t>
        </is>
      </c>
      <c r="F379" s="26" t="inlineStr">
        <is>
          <t>🎵 Educational Songs</t>
        </is>
      </c>
      <c r="G379" s="15" t="n">
        <v>54</v>
      </c>
      <c r="H379" s="15" t="inlineStr">
        <is>
          <t>Healthy Food Song</t>
        </is>
      </c>
      <c r="I379" s="15" t="inlineStr">
        <is>
          <t>Healthy Food Song 🎵 | Kids Songs | Tiny Sparks</t>
        </is>
      </c>
      <c r="J379" s="15" t="inlineStr">
        <is>
          <t>3–5</t>
        </is>
      </c>
      <c r="K379" s="15" t="inlineStr">
        <is>
          <t>Long 16:9 + Short cut</t>
        </is>
      </c>
      <c r="L379" s="15" t="inlineStr">
        <is>
          <t>2–3 min (Short: 45 s chorus)</t>
        </is>
      </c>
      <c r="M379" s="15" t="inlineStr">
        <is>
          <t>Mila sings, all dance</t>
        </is>
      </c>
      <c r="N379" s="15" t="inlineStr">
        <is>
          <t>Sing &amp; learn: Healthy Food</t>
        </is>
      </c>
      <c r="O379" s="15" t="inlineStr">
        <is>
          <t>Yes</t>
        </is>
      </c>
      <c r="P379" s="15" t="inlineStr">
        <is>
          <t>P3</t>
        </is>
      </c>
      <c r="Q379" s="15" t="inlineStr">
        <is>
          <t>Idea</t>
        </is>
      </c>
      <c r="R379" s="48">
        <f>INDEX('Start Here'!$B$10:$B$16,WEEKDAY(C379,2))</f>
        <v/>
      </c>
      <c r="S379" s="48">
        <f>MOD(R379+'Start Here'!$B$6/24,1)</f>
        <v/>
      </c>
      <c r="T379" s="15" t="n"/>
      <c r="U379" s="15" t="n"/>
      <c r="V379" s="15" t="n"/>
      <c r="W379" s="15" t="n"/>
      <c r="X379" s="20" t="n"/>
      <c r="Y379" s="15" t="n"/>
    </row>
    <row r="380">
      <c r="A380" s="15" t="n">
        <v>379</v>
      </c>
      <c r="B380" s="16">
        <f>INT((A380-1)/7)+1</f>
        <v/>
      </c>
      <c r="C380" s="47">
        <f>'Start Here'!$B$5+A380-1</f>
        <v/>
      </c>
      <c r="D380" s="16">
        <f>TEXT(C380,"ddd")</f>
        <v/>
      </c>
      <c r="E380" s="15" t="inlineStr">
        <is>
          <t>Story Monday</t>
        </is>
      </c>
      <c r="F380" s="18" t="inlineStr">
        <is>
          <t>🧠 Educational Stories</t>
        </is>
      </c>
      <c r="G380" s="15" t="n">
        <v>28</v>
      </c>
      <c r="H380" s="15" t="inlineStr">
        <is>
          <t>Alex Learns About Recycling</t>
        </is>
      </c>
      <c r="I380" s="15" t="inlineStr">
        <is>
          <t>Leo Learns About Recycling 🧠 | Kids Stories | Tiny Sparks</t>
        </is>
      </c>
      <c r="J380" s="15" t="inlineStr">
        <is>
          <t>3–5</t>
        </is>
      </c>
      <c r="K380" s="15" t="inlineStr">
        <is>
          <t>Long 16:9 + Short teaser</t>
        </is>
      </c>
      <c r="L380" s="15" t="inlineStr">
        <is>
          <t>3–5 min (Short: 50 s)</t>
        </is>
      </c>
      <c r="M380" s="15" t="inlineStr">
        <is>
          <t>Leo (lead) · Mila, Leo, Bobo + narrator</t>
        </is>
      </c>
      <c r="N380" s="15" t="inlineStr">
        <is>
          <t>Life skill: Recycling</t>
        </is>
      </c>
      <c r="O380" s="15" t="inlineStr">
        <is>
          <t>Yes</t>
        </is>
      </c>
      <c r="P380" s="15" t="inlineStr">
        <is>
          <t>P3</t>
        </is>
      </c>
      <c r="Q380" s="15" t="inlineStr">
        <is>
          <t>Idea</t>
        </is>
      </c>
      <c r="R380" s="48">
        <f>INDEX('Start Here'!$B$10:$B$16,WEEKDAY(C380,2))</f>
        <v/>
      </c>
      <c r="S380" s="48">
        <f>MOD(R380+'Start Here'!$B$6/24,1)</f>
        <v/>
      </c>
      <c r="T380" s="15" t="n"/>
      <c r="U380" s="15" t="n"/>
      <c r="V380" s="15" t="n"/>
      <c r="W380" s="15" t="n"/>
      <c r="X380" s="20" t="n"/>
      <c r="Y380" s="15" t="n"/>
    </row>
    <row r="381">
      <c r="A381" s="15" t="n">
        <v>380</v>
      </c>
      <c r="B381" s="16">
        <f>INT((A381-1)/7)+1</f>
        <v/>
      </c>
      <c r="C381" s="47">
        <f>'Start Here'!$B$5+A381-1</f>
        <v/>
      </c>
      <c r="D381" s="16">
        <f>TEXT(C381,"ddd")</f>
        <v/>
      </c>
      <c r="E381" s="15" t="inlineStr">
        <is>
          <t>Math Tuesday</t>
        </is>
      </c>
      <c r="F381" s="21" t="inlineStr">
        <is>
          <t>🔢 Numbers &amp; Math</t>
        </is>
      </c>
      <c r="G381" s="15" t="n">
        <v>55</v>
      </c>
      <c r="H381" s="15" t="inlineStr">
        <is>
          <t>Find the Hidden Shapes</t>
        </is>
      </c>
      <c r="I381" s="15" t="inlineStr">
        <is>
          <t>Find the Hidden Shapes 🔢 | Learn Math for Kids | Tiny Sparks</t>
        </is>
      </c>
      <c r="J381" s="15" t="inlineStr">
        <is>
          <t>3–5</t>
        </is>
      </c>
      <c r="K381" s="15" t="inlineStr">
        <is>
          <t>Short 9:16</t>
        </is>
      </c>
      <c r="L381" s="15" t="inlineStr">
        <is>
          <t>45–60 s</t>
        </is>
      </c>
      <c r="M381" s="15" t="inlineStr">
        <is>
          <t>Bobo + Mila (counting fingers)</t>
        </is>
      </c>
      <c r="N381" s="15" t="inlineStr">
        <is>
          <t>Math: Find the Hidden Shapes</t>
        </is>
      </c>
      <c r="O381" s="15" t="inlineStr">
        <is>
          <t>Yes</t>
        </is>
      </c>
      <c r="P381" s="15" t="inlineStr">
        <is>
          <t>P3</t>
        </is>
      </c>
      <c r="Q381" s="15" t="inlineStr">
        <is>
          <t>Idea</t>
        </is>
      </c>
      <c r="R381" s="48">
        <f>INDEX('Start Here'!$B$10:$B$16,WEEKDAY(C381,2))</f>
        <v/>
      </c>
      <c r="S381" s="48">
        <f>MOD(R381+'Start Here'!$B$6/24,1)</f>
        <v/>
      </c>
      <c r="T381" s="15" t="n"/>
      <c r="U381" s="15" t="n"/>
      <c r="V381" s="15" t="n"/>
      <c r="W381" s="15" t="n"/>
      <c r="X381" s="20" t="n"/>
      <c r="Y381" s="15" t="n"/>
    </row>
    <row r="382">
      <c r="A382" s="15" t="n">
        <v>381</v>
      </c>
      <c r="B382" s="16">
        <f>INT((A382-1)/7)+1</f>
        <v/>
      </c>
      <c r="C382" s="47">
        <f>'Start Here'!$B$5+A382-1</f>
        <v/>
      </c>
      <c r="D382" s="16">
        <f>TEXT(C382,"ddd")</f>
        <v/>
      </c>
      <c r="E382" s="15" t="inlineStr">
        <is>
          <t>Word Wednesday</t>
        </is>
      </c>
      <c r="F382" s="22" t="inlineStr">
        <is>
          <t>🔤 English/French Words</t>
        </is>
      </c>
      <c r="G382" s="15" t="n">
        <v>55</v>
      </c>
      <c r="H382" s="15" t="inlineStr">
        <is>
          <t>Saying Thank You</t>
        </is>
      </c>
      <c r="I382" s="15" t="inlineStr">
        <is>
          <t>Saying Thank You 🔤 | Kids Vocabulary | Tiny Sparks</t>
        </is>
      </c>
      <c r="J382" s="15" t="inlineStr">
        <is>
          <t>3–5</t>
        </is>
      </c>
      <c r="K382" s="15" t="inlineStr">
        <is>
          <t>Short 9:16</t>
        </is>
      </c>
      <c r="L382" s="15" t="inlineStr">
        <is>
          <t>45–60 s</t>
        </is>
      </c>
      <c r="M382" s="15" t="inlineStr">
        <is>
          <t>Mila + French narrator</t>
        </is>
      </c>
      <c r="N382" s="15" t="inlineStr">
        <is>
          <t>Vocabulary EN→FR: Saying Thank You</t>
        </is>
      </c>
      <c r="O382" s="15" t="inlineStr">
        <is>
          <t>Yes</t>
        </is>
      </c>
      <c r="P382" s="15" t="inlineStr">
        <is>
          <t>P3</t>
        </is>
      </c>
      <c r="Q382" s="15" t="inlineStr">
        <is>
          <t>Idea</t>
        </is>
      </c>
      <c r="R382" s="48">
        <f>INDEX('Start Here'!$B$10:$B$16,WEEKDAY(C382,2))</f>
        <v/>
      </c>
      <c r="S382" s="48">
        <f>MOD(R382+'Start Here'!$B$6/24,1)</f>
        <v/>
      </c>
      <c r="T382" s="15" t="n"/>
      <c r="U382" s="15" t="n"/>
      <c r="V382" s="15" t="n"/>
      <c r="W382" s="15" t="n"/>
      <c r="X382" s="20" t="n"/>
      <c r="Y382" s="15" t="n"/>
    </row>
    <row r="383">
      <c r="A383" s="15" t="n">
        <v>382</v>
      </c>
      <c r="B383" s="16">
        <f>INT((A383-1)/7)+1</f>
        <v/>
      </c>
      <c r="C383" s="47">
        <f>'Start Here'!$B$5+A383-1</f>
        <v/>
      </c>
      <c r="D383" s="16">
        <f>TEXT(C383,"ddd")</f>
        <v/>
      </c>
      <c r="E383" s="15" t="inlineStr">
        <is>
          <t>Animal Thursday</t>
        </is>
      </c>
      <c r="F383" s="23" t="inlineStr">
        <is>
          <t>🦁 Animal Stories</t>
        </is>
      </c>
      <c r="G383" s="15" t="n">
        <v>55</v>
      </c>
      <c r="H383" s="15" t="inlineStr">
        <is>
          <t>Animal School: Art Day</t>
        </is>
      </c>
      <c r="I383" s="15" t="inlineStr">
        <is>
          <t>Animal School: Art Day 🦁 | Animal Stories for Kids | Tiny Sparks</t>
        </is>
      </c>
      <c r="J383" s="15" t="inlineStr">
        <is>
          <t>3–5</t>
        </is>
      </c>
      <c r="K383" s="15" t="inlineStr">
        <is>
          <t>Long 16:9 + Short teaser</t>
        </is>
      </c>
      <c r="L383" s="15" t="inlineStr">
        <is>
          <t>3–5 min (Short: 50 s)</t>
        </is>
      </c>
      <c r="M383" s="15" t="inlineStr">
        <is>
          <t>guest animal(s) + Bobo</t>
        </is>
      </c>
      <c r="N383" s="15" t="inlineStr">
        <is>
          <t>Story + 3 true animal facts; value: friendship</t>
        </is>
      </c>
      <c r="O383" s="15" t="inlineStr">
        <is>
          <t>Yes</t>
        </is>
      </c>
      <c r="P383" s="15" t="inlineStr">
        <is>
          <t>P3</t>
        </is>
      </c>
      <c r="Q383" s="15" t="inlineStr">
        <is>
          <t>Idea</t>
        </is>
      </c>
      <c r="R383" s="48">
        <f>INDEX('Start Here'!$B$10:$B$16,WEEKDAY(C383,2))</f>
        <v/>
      </c>
      <c r="S383" s="48">
        <f>MOD(R383+'Start Here'!$B$6/24,1)</f>
        <v/>
      </c>
      <c r="T383" s="15" t="n"/>
      <c r="U383" s="15" t="n"/>
      <c r="V383" s="15" t="n"/>
      <c r="W383" s="15" t="n"/>
      <c r="X383" s="20" t="n"/>
      <c r="Y383" s="15" t="n"/>
    </row>
    <row r="384">
      <c r="A384" s="15" t="n">
        <v>383</v>
      </c>
      <c r="B384" s="16">
        <f>INT((A384-1)/7)+1</f>
        <v/>
      </c>
      <c r="C384" s="47">
        <f>'Start Here'!$B$5+A384-1</f>
        <v/>
      </c>
      <c r="D384" s="16">
        <f>TEXT(C384,"ddd")</f>
        <v/>
      </c>
      <c r="E384" s="15" t="inlineStr">
        <is>
          <t>Science Friday</t>
        </is>
      </c>
      <c r="F384" s="24" t="inlineStr">
        <is>
          <t>🚀 Science for Kids</t>
        </is>
      </c>
      <c r="G384" s="15" t="n">
        <v>55</v>
      </c>
      <c r="H384" s="15" t="inlineStr">
        <is>
          <t>Dinosaurs vs Modern Animals</t>
        </is>
      </c>
      <c r="I384" s="15" t="inlineStr">
        <is>
          <t>Dinosaurs vs Modern Animals 🚀 | Science for Kids | Tiny Sparks</t>
        </is>
      </c>
      <c r="J384" s="15" t="inlineStr">
        <is>
          <t>6–8</t>
        </is>
      </c>
      <c r="K384" s="15" t="inlineStr">
        <is>
          <t>Short 9:16</t>
        </is>
      </c>
      <c r="L384" s="15" t="inlineStr">
        <is>
          <t>45–60 s</t>
        </is>
      </c>
      <c r="M384" s="15" t="inlineStr">
        <is>
          <t>Prof. Hoot + Leo (wrong guess) + Mila</t>
        </is>
      </c>
      <c r="N384" s="15" t="inlineStr">
        <is>
          <t>Answer simply: Dinosaurs vs Modern Animals</t>
        </is>
      </c>
      <c r="O384" s="15" t="inlineStr">
        <is>
          <t>Build first: dinosaurs</t>
        </is>
      </c>
      <c r="P384" s="15" t="inlineStr">
        <is>
          <t>P3</t>
        </is>
      </c>
      <c r="Q384" s="15" t="inlineStr">
        <is>
          <t>Idea</t>
        </is>
      </c>
      <c r="R384" s="48">
        <f>INDEX('Start Here'!$B$10:$B$16,WEEKDAY(C384,2))</f>
        <v/>
      </c>
      <c r="S384" s="48">
        <f>MOD(R384+'Start Here'!$B$6/24,1)</f>
        <v/>
      </c>
      <c r="T384" s="15" t="n"/>
      <c r="U384" s="15" t="n"/>
      <c r="V384" s="15" t="n"/>
      <c r="W384" s="15" t="n"/>
      <c r="X384" s="20" t="n"/>
      <c r="Y384" s="15" t="n"/>
    </row>
    <row r="385">
      <c r="A385" s="15" t="n">
        <v>384</v>
      </c>
      <c r="B385" s="16">
        <f>INT((A385-1)/7)+1</f>
        <v/>
      </c>
      <c r="C385" s="47">
        <f>'Start Here'!$B$5+A385-1</f>
        <v/>
      </c>
      <c r="D385" s="16">
        <f>TEXT(C385,"ddd")</f>
        <v/>
      </c>
      <c r="E385" s="15" t="inlineStr">
        <is>
          <t>Puzzle Saturday</t>
        </is>
      </c>
      <c r="F385" s="25" t="inlineStr">
        <is>
          <t>🧩 Puzzles &amp; Problem-Solving</t>
        </is>
      </c>
      <c r="G385" s="15" t="n">
        <v>55</v>
      </c>
      <c r="H385" s="15" t="inlineStr">
        <is>
          <t>Nature Riddles</t>
        </is>
      </c>
      <c r="I385" s="15" t="inlineStr">
        <is>
          <t>Nature Riddles 🧩 | Brain Games for Kids | Tiny Sparks</t>
        </is>
      </c>
      <c r="J385" s="15" t="inlineStr">
        <is>
          <t>6–8</t>
        </is>
      </c>
      <c r="K385" s="15" t="inlineStr">
        <is>
          <t>Short 9:16</t>
        </is>
      </c>
      <c r="L385" s="15" t="inlineStr">
        <is>
          <t>45–60 s</t>
        </is>
      </c>
      <c r="M385" s="15" t="inlineStr">
        <is>
          <t>Prof. Hoot + Leo + score strip</t>
        </is>
      </c>
      <c r="N385" s="15" t="inlineStr">
        <is>
          <t>Thinking skill: reasoning</t>
        </is>
      </c>
      <c r="O385" s="15" t="inlineStr">
        <is>
          <t>Yes</t>
        </is>
      </c>
      <c r="P385" s="15" t="inlineStr">
        <is>
          <t>P3</t>
        </is>
      </c>
      <c r="Q385" s="15" t="inlineStr">
        <is>
          <t>Idea</t>
        </is>
      </c>
      <c r="R385" s="48">
        <f>INDEX('Start Here'!$B$10:$B$16,WEEKDAY(C385,2))</f>
        <v/>
      </c>
      <c r="S385" s="48">
        <f>MOD(R385+'Start Here'!$B$6/24,1)</f>
        <v/>
      </c>
      <c r="T385" s="15" t="n"/>
      <c r="U385" s="15" t="n"/>
      <c r="V385" s="15" t="n"/>
      <c r="W385" s="15" t="n"/>
      <c r="X385" s="20" t="n"/>
      <c r="Y385" s="15" t="n"/>
    </row>
    <row r="386">
      <c r="A386" s="15" t="n">
        <v>385</v>
      </c>
      <c r="B386" s="16">
        <f>INT((A386-1)/7)+1</f>
        <v/>
      </c>
      <c r="C386" s="47">
        <f>'Start Here'!$B$5+A386-1</f>
        <v/>
      </c>
      <c r="D386" s="16">
        <f>TEXT(C386,"ddd")</f>
        <v/>
      </c>
      <c r="E386" s="15" t="inlineStr">
        <is>
          <t>Song Sunday</t>
        </is>
      </c>
      <c r="F386" s="26" t="inlineStr">
        <is>
          <t>🎵 Educational Songs</t>
        </is>
      </c>
      <c r="G386" s="15" t="n">
        <v>55</v>
      </c>
      <c r="H386" s="15" t="inlineStr">
        <is>
          <t>Drink Water Song</t>
        </is>
      </c>
      <c r="I386" s="15" t="inlineStr">
        <is>
          <t>Drink Water Song 🎵 | Kids Songs | Tiny Sparks</t>
        </is>
      </c>
      <c r="J386" s="15" t="inlineStr">
        <is>
          <t>3–5</t>
        </is>
      </c>
      <c r="K386" s="15" t="inlineStr">
        <is>
          <t>Long 16:9 + Short cut</t>
        </is>
      </c>
      <c r="L386" s="15" t="inlineStr">
        <is>
          <t>2–3 min (Short: 45 s chorus)</t>
        </is>
      </c>
      <c r="M386" s="15" t="inlineStr">
        <is>
          <t>Mila sings, all dance</t>
        </is>
      </c>
      <c r="N386" s="15" t="inlineStr">
        <is>
          <t>Sing &amp; learn: Drink Water</t>
        </is>
      </c>
      <c r="O386" s="15" t="inlineStr">
        <is>
          <t>Yes</t>
        </is>
      </c>
      <c r="P386" s="15" t="inlineStr">
        <is>
          <t>P3</t>
        </is>
      </c>
      <c r="Q386" s="15" t="inlineStr">
        <is>
          <t>Idea</t>
        </is>
      </c>
      <c r="R386" s="48">
        <f>INDEX('Start Here'!$B$10:$B$16,WEEKDAY(C386,2))</f>
        <v/>
      </c>
      <c r="S386" s="48">
        <f>MOD(R386+'Start Here'!$B$6/24,1)</f>
        <v/>
      </c>
      <c r="T386" s="15" t="n"/>
      <c r="U386" s="15" t="n"/>
      <c r="V386" s="15" t="n"/>
      <c r="W386" s="15" t="n"/>
      <c r="X386" s="20" t="n"/>
      <c r="Y386" s="15" t="n"/>
    </row>
    <row r="387">
      <c r="A387" s="15" t="n">
        <v>386</v>
      </c>
      <c r="B387" s="16">
        <f>INT((A387-1)/7)+1</f>
        <v/>
      </c>
      <c r="C387" s="47">
        <f>'Start Here'!$B$5+A387-1</f>
        <v/>
      </c>
      <c r="D387" s="16">
        <f>TEXT(C387,"ddd")</f>
        <v/>
      </c>
      <c r="E387" s="15" t="inlineStr">
        <is>
          <t>Story Monday</t>
        </is>
      </c>
      <c r="F387" s="27" t="inlineStr">
        <is>
          <t>📚 Moral Stories</t>
        </is>
      </c>
      <c r="G387" s="15" t="n">
        <v>28</v>
      </c>
      <c r="H387" s="15" t="inlineStr">
        <is>
          <t>The Impatient Monkey</t>
        </is>
      </c>
      <c r="I387" s="15" t="inlineStr">
        <is>
          <t>The Impatient Monkey 📚 | Moral Stories for Kids | Tiny Sparks</t>
        </is>
      </c>
      <c r="J387" s="15" t="inlineStr">
        <is>
          <t>3–5</t>
        </is>
      </c>
      <c r="K387" s="15" t="inlineStr">
        <is>
          <t>Long 16:9 + Short teaser</t>
        </is>
      </c>
      <c r="L387" s="15" t="inlineStr">
        <is>
          <t>3–5 min (Short: 50 s)</t>
        </is>
      </c>
      <c r="M387" s="15" t="inlineStr">
        <is>
          <t>narrator + guest animals / Mila &amp; Leo</t>
        </is>
      </c>
      <c r="N387" s="15" t="inlineStr">
        <is>
          <t>Value: patience</t>
        </is>
      </c>
      <c r="O387" s="15" t="inlineStr">
        <is>
          <t>Build first: monkey</t>
        </is>
      </c>
      <c r="P387" s="15" t="inlineStr">
        <is>
          <t>P3</t>
        </is>
      </c>
      <c r="Q387" s="15" t="inlineStr">
        <is>
          <t>Idea</t>
        </is>
      </c>
      <c r="R387" s="48">
        <f>INDEX('Start Here'!$B$10:$B$16,WEEKDAY(C387,2))</f>
        <v/>
      </c>
      <c r="S387" s="48">
        <f>MOD(R387+'Start Here'!$B$6/24,1)</f>
        <v/>
      </c>
      <c r="T387" s="15" t="n"/>
      <c r="U387" s="15" t="n"/>
      <c r="V387" s="15" t="n"/>
      <c r="W387" s="15" t="n"/>
      <c r="X387" s="20" t="n"/>
      <c r="Y387" s="15" t="n"/>
    </row>
    <row r="388">
      <c r="A388" s="15" t="n">
        <v>387</v>
      </c>
      <c r="B388" s="16">
        <f>INT((A388-1)/7)+1</f>
        <v/>
      </c>
      <c r="C388" s="47">
        <f>'Start Here'!$B$5+A388-1</f>
        <v/>
      </c>
      <c r="D388" s="16">
        <f>TEXT(C388,"ddd")</f>
        <v/>
      </c>
      <c r="E388" s="15" t="inlineStr">
        <is>
          <t>Math Tuesday</t>
        </is>
      </c>
      <c r="F388" s="21" t="inlineStr">
        <is>
          <t>🔢 Numbers &amp; Math</t>
        </is>
      </c>
      <c r="G388" s="15" t="n">
        <v>56</v>
      </c>
      <c r="H388" s="15" t="inlineStr">
        <is>
          <t>Shapes Around Us</t>
        </is>
      </c>
      <c r="I388" s="15" t="inlineStr">
        <is>
          <t>Shapes Around Us 🔢 | Learn Math for Kids | Tiny Sparks</t>
        </is>
      </c>
      <c r="J388" s="15" t="inlineStr">
        <is>
          <t>3–5</t>
        </is>
      </c>
      <c r="K388" s="15" t="inlineStr">
        <is>
          <t>Short 9:16</t>
        </is>
      </c>
      <c r="L388" s="15" t="inlineStr">
        <is>
          <t>45–60 s</t>
        </is>
      </c>
      <c r="M388" s="15" t="inlineStr">
        <is>
          <t>Bobo + Mila (counting fingers)</t>
        </is>
      </c>
      <c r="N388" s="15" t="inlineStr">
        <is>
          <t>Math: Shapes Around Us</t>
        </is>
      </c>
      <c r="O388" s="15" t="inlineStr">
        <is>
          <t>Yes</t>
        </is>
      </c>
      <c r="P388" s="15" t="inlineStr">
        <is>
          <t>P3</t>
        </is>
      </c>
      <c r="Q388" s="15" t="inlineStr">
        <is>
          <t>Idea</t>
        </is>
      </c>
      <c r="R388" s="48">
        <f>INDEX('Start Here'!$B$10:$B$16,WEEKDAY(C388,2))</f>
        <v/>
      </c>
      <c r="S388" s="48">
        <f>MOD(R388+'Start Here'!$B$6/24,1)</f>
        <v/>
      </c>
      <c r="T388" s="15" t="n"/>
      <c r="U388" s="15" t="n"/>
      <c r="V388" s="15" t="n"/>
      <c r="W388" s="15" t="n"/>
      <c r="X388" s="20" t="n"/>
      <c r="Y388" s="15" t="n"/>
    </row>
    <row r="389">
      <c r="A389" s="15" t="n">
        <v>388</v>
      </c>
      <c r="B389" s="16">
        <f>INT((A389-1)/7)+1</f>
        <v/>
      </c>
      <c r="C389" s="47">
        <f>'Start Here'!$B$5+A389-1</f>
        <v/>
      </c>
      <c r="D389" s="16">
        <f>TEXT(C389,"ddd")</f>
        <v/>
      </c>
      <c r="E389" s="15" t="inlineStr">
        <is>
          <t>Word Wednesday</t>
        </is>
      </c>
      <c r="F389" s="22" t="inlineStr">
        <is>
          <t>🔤 English/French Words</t>
        </is>
      </c>
      <c r="G389" s="15" t="n">
        <v>56</v>
      </c>
      <c r="H389" s="15" t="inlineStr">
        <is>
          <t>Saying Please</t>
        </is>
      </c>
      <c r="I389" s="15" t="inlineStr">
        <is>
          <t>Saying Please 🔤 | Kids Vocabulary | Tiny Sparks</t>
        </is>
      </c>
      <c r="J389" s="15" t="inlineStr">
        <is>
          <t>3–5</t>
        </is>
      </c>
      <c r="K389" s="15" t="inlineStr">
        <is>
          <t>Short 9:16</t>
        </is>
      </c>
      <c r="L389" s="15" t="inlineStr">
        <is>
          <t>45–60 s</t>
        </is>
      </c>
      <c r="M389" s="15" t="inlineStr">
        <is>
          <t>Mila + French narrator</t>
        </is>
      </c>
      <c r="N389" s="15" t="inlineStr">
        <is>
          <t>Vocabulary EN→FR: Saying Please</t>
        </is>
      </c>
      <c r="O389" s="15" t="inlineStr">
        <is>
          <t>Yes</t>
        </is>
      </c>
      <c r="P389" s="15" t="inlineStr">
        <is>
          <t>P3</t>
        </is>
      </c>
      <c r="Q389" s="15" t="inlineStr">
        <is>
          <t>Idea</t>
        </is>
      </c>
      <c r="R389" s="48">
        <f>INDEX('Start Here'!$B$10:$B$16,WEEKDAY(C389,2))</f>
        <v/>
      </c>
      <c r="S389" s="48">
        <f>MOD(R389+'Start Here'!$B$6/24,1)</f>
        <v/>
      </c>
      <c r="T389" s="15" t="n"/>
      <c r="U389" s="15" t="n"/>
      <c r="V389" s="15" t="n"/>
      <c r="W389" s="15" t="n"/>
      <c r="X389" s="20" t="n"/>
      <c r="Y389" s="15" t="n"/>
    </row>
    <row r="390">
      <c r="A390" s="15" t="n">
        <v>389</v>
      </c>
      <c r="B390" s="16">
        <f>INT((A390-1)/7)+1</f>
        <v/>
      </c>
      <c r="C390" s="47">
        <f>'Start Here'!$B$5+A390-1</f>
        <v/>
      </c>
      <c r="D390" s="16">
        <f>TEXT(C390,"ddd")</f>
        <v/>
      </c>
      <c r="E390" s="15" t="inlineStr">
        <is>
          <t>Animal Thursday</t>
        </is>
      </c>
      <c r="F390" s="23" t="inlineStr">
        <is>
          <t>🦁 Animal Stories</t>
        </is>
      </c>
      <c r="G390" s="15" t="n">
        <v>56</v>
      </c>
      <c r="H390" s="15" t="inlineStr">
        <is>
          <t>Animal School: The Big Exam</t>
        </is>
      </c>
      <c r="I390" s="15" t="inlineStr">
        <is>
          <t>Animal School: The Big Exam 🦁 | Animal Stories for Kids | Tiny Sparks</t>
        </is>
      </c>
      <c r="J390" s="15" t="inlineStr">
        <is>
          <t>3–5</t>
        </is>
      </c>
      <c r="K390" s="15" t="inlineStr">
        <is>
          <t>Long 16:9 + Short teaser</t>
        </is>
      </c>
      <c r="L390" s="15" t="inlineStr">
        <is>
          <t>3–5 min (Short: 50 s)</t>
        </is>
      </c>
      <c r="M390" s="15" t="inlineStr">
        <is>
          <t>guest animal(s) + Bobo</t>
        </is>
      </c>
      <c r="N390" s="15" t="inlineStr">
        <is>
          <t>Story + 3 true animal facts; value: friendship</t>
        </is>
      </c>
      <c r="O390" s="15" t="inlineStr">
        <is>
          <t>Yes</t>
        </is>
      </c>
      <c r="P390" s="15" t="inlineStr">
        <is>
          <t>P3</t>
        </is>
      </c>
      <c r="Q390" s="15" t="inlineStr">
        <is>
          <t>Idea</t>
        </is>
      </c>
      <c r="R390" s="48">
        <f>INDEX('Start Here'!$B$10:$B$16,WEEKDAY(C390,2))</f>
        <v/>
      </c>
      <c r="S390" s="48">
        <f>MOD(R390+'Start Here'!$B$6/24,1)</f>
        <v/>
      </c>
      <c r="T390" s="15" t="n"/>
      <c r="U390" s="15" t="n"/>
      <c r="V390" s="15" t="n"/>
      <c r="W390" s="15" t="n"/>
      <c r="X390" s="20" t="n"/>
      <c r="Y390" s="15" t="n"/>
    </row>
    <row r="391">
      <c r="A391" s="15" t="n">
        <v>390</v>
      </c>
      <c r="B391" s="16">
        <f>INT((A391-1)/7)+1</f>
        <v/>
      </c>
      <c r="C391" s="47">
        <f>'Start Here'!$B$5+A391-1</f>
        <v/>
      </c>
      <c r="D391" s="16">
        <f>TEXT(C391,"ddd")</f>
        <v/>
      </c>
      <c r="E391" s="15" t="inlineStr">
        <is>
          <t>Science Friday</t>
        </is>
      </c>
      <c r="F391" s="24" t="inlineStr">
        <is>
          <t>🚀 Science for Kids</t>
        </is>
      </c>
      <c r="G391" s="15" t="n">
        <v>56</v>
      </c>
      <c r="H391" s="15" t="inlineStr">
        <is>
          <t>What Are Fossils?</t>
        </is>
      </c>
      <c r="I391" s="15" t="inlineStr">
        <is>
          <t>What Are Fossils? 🚀 | Science for Kids | Tiny Sparks</t>
        </is>
      </c>
      <c r="J391" s="15" t="inlineStr">
        <is>
          <t>6–8</t>
        </is>
      </c>
      <c r="K391" s="15" t="inlineStr">
        <is>
          <t>Short 9:16</t>
        </is>
      </c>
      <c r="L391" s="15" t="inlineStr">
        <is>
          <t>45–60 s</t>
        </is>
      </c>
      <c r="M391" s="15" t="inlineStr">
        <is>
          <t>Prof. Hoot + Leo (wrong guess) + Mila</t>
        </is>
      </c>
      <c r="N391" s="15" t="inlineStr">
        <is>
          <t>Answer simply: What Are Fossils?</t>
        </is>
      </c>
      <c r="O391" s="15" t="inlineStr">
        <is>
          <t>Yes</t>
        </is>
      </c>
      <c r="P391" s="15" t="inlineStr">
        <is>
          <t>P3</t>
        </is>
      </c>
      <c r="Q391" s="15" t="inlineStr">
        <is>
          <t>Idea</t>
        </is>
      </c>
      <c r="R391" s="48">
        <f>INDEX('Start Here'!$B$10:$B$16,WEEKDAY(C391,2))</f>
        <v/>
      </c>
      <c r="S391" s="48">
        <f>MOD(R391+'Start Here'!$B$6/24,1)</f>
        <v/>
      </c>
      <c r="T391" s="15" t="n"/>
      <c r="U391" s="15" t="n"/>
      <c r="V391" s="15" t="n"/>
      <c r="W391" s="15" t="n"/>
      <c r="X391" s="20" t="n"/>
      <c r="Y391" s="15" t="n"/>
    </row>
    <row r="392">
      <c r="A392" s="15" t="n">
        <v>391</v>
      </c>
      <c r="B392" s="16">
        <f>INT((A392-1)/7)+1</f>
        <v/>
      </c>
      <c r="C392" s="47">
        <f>'Start Here'!$B$5+A392-1</f>
        <v/>
      </c>
      <c r="D392" s="16">
        <f>TEXT(C392,"ddd")</f>
        <v/>
      </c>
      <c r="E392" s="15" t="inlineStr">
        <is>
          <t>Puzzle Saturday</t>
        </is>
      </c>
      <c r="F392" s="25" t="inlineStr">
        <is>
          <t>🧩 Puzzles &amp; Problem-Solving</t>
        </is>
      </c>
      <c r="G392" s="15" t="n">
        <v>56</v>
      </c>
      <c r="H392" s="15" t="inlineStr">
        <is>
          <t>Space Riddles</t>
        </is>
      </c>
      <c r="I392" s="15" t="inlineStr">
        <is>
          <t>Space Riddles 🧩 | Brain Games for Kids | Tiny Sparks</t>
        </is>
      </c>
      <c r="J392" s="15" t="inlineStr">
        <is>
          <t>6–8</t>
        </is>
      </c>
      <c r="K392" s="15" t="inlineStr">
        <is>
          <t>Short 9:16</t>
        </is>
      </c>
      <c r="L392" s="15" t="inlineStr">
        <is>
          <t>45–60 s</t>
        </is>
      </c>
      <c r="M392" s="15" t="inlineStr">
        <is>
          <t>Prof. Hoot + Leo + score strip</t>
        </is>
      </c>
      <c r="N392" s="15" t="inlineStr">
        <is>
          <t>Thinking skill: reasoning</t>
        </is>
      </c>
      <c r="O392" s="15" t="inlineStr">
        <is>
          <t>Yes</t>
        </is>
      </c>
      <c r="P392" s="15" t="inlineStr">
        <is>
          <t>P3</t>
        </is>
      </c>
      <c r="Q392" s="15" t="inlineStr">
        <is>
          <t>Idea</t>
        </is>
      </c>
      <c r="R392" s="48">
        <f>INDEX('Start Here'!$B$10:$B$16,WEEKDAY(C392,2))</f>
        <v/>
      </c>
      <c r="S392" s="48">
        <f>MOD(R392+'Start Here'!$B$6/24,1)</f>
        <v/>
      </c>
      <c r="T392" s="15" t="n"/>
      <c r="U392" s="15" t="n"/>
      <c r="V392" s="15" t="n"/>
      <c r="W392" s="15" t="n"/>
      <c r="X392" s="20" t="n"/>
      <c r="Y392" s="15" t="n"/>
    </row>
    <row r="393">
      <c r="A393" s="15" t="n">
        <v>392</v>
      </c>
      <c r="B393" s="16">
        <f>INT((A393-1)/7)+1</f>
        <v/>
      </c>
      <c r="C393" s="47">
        <f>'Start Here'!$B$5+A393-1</f>
        <v/>
      </c>
      <c r="D393" s="16">
        <f>TEXT(C393,"ddd")</f>
        <v/>
      </c>
      <c r="E393" s="15" t="inlineStr">
        <is>
          <t>Song Sunday</t>
        </is>
      </c>
      <c r="F393" s="26" t="inlineStr">
        <is>
          <t>🎵 Educational Songs</t>
        </is>
      </c>
      <c r="G393" s="15" t="n">
        <v>56</v>
      </c>
      <c r="H393" s="15" t="inlineStr">
        <is>
          <t>Sleep Time Song</t>
        </is>
      </c>
      <c r="I393" s="15" t="inlineStr">
        <is>
          <t>Sleep Time Song 🎵 | Kids Songs | Tiny Sparks</t>
        </is>
      </c>
      <c r="J393" s="15" t="inlineStr">
        <is>
          <t>6–8</t>
        </is>
      </c>
      <c r="K393" s="15" t="inlineStr">
        <is>
          <t>Long 16:9 + Short cut</t>
        </is>
      </c>
      <c r="L393" s="15" t="inlineStr">
        <is>
          <t>2–3 min (Short: 45 s chorus)</t>
        </is>
      </c>
      <c r="M393" s="15" t="inlineStr">
        <is>
          <t>Mila sings, all dance</t>
        </is>
      </c>
      <c r="N393" s="15" t="inlineStr">
        <is>
          <t>Sing &amp; learn: Sleep Time</t>
        </is>
      </c>
      <c r="O393" s="15" t="inlineStr">
        <is>
          <t>Yes</t>
        </is>
      </c>
      <c r="P393" s="15" t="inlineStr">
        <is>
          <t>P3</t>
        </is>
      </c>
      <c r="Q393" s="15" t="inlineStr">
        <is>
          <t>Idea</t>
        </is>
      </c>
      <c r="R393" s="48">
        <f>INDEX('Start Here'!$B$10:$B$16,WEEKDAY(C393,2))</f>
        <v/>
      </c>
      <c r="S393" s="48">
        <f>MOD(R393+'Start Here'!$B$6/24,1)</f>
        <v/>
      </c>
      <c r="T393" s="15" t="n"/>
      <c r="U393" s="15" t="n"/>
      <c r="V393" s="15" t="n"/>
      <c r="W393" s="15" t="n"/>
      <c r="X393" s="20" t="n"/>
      <c r="Y393" s="15" t="n"/>
    </row>
    <row r="394">
      <c r="A394" s="15" t="n">
        <v>393</v>
      </c>
      <c r="B394" s="16">
        <f>INT((A394-1)/7)+1</f>
        <v/>
      </c>
      <c r="C394" s="47">
        <f>'Start Here'!$B$5+A394-1</f>
        <v/>
      </c>
      <c r="D394" s="16">
        <f>TEXT(C394,"ddd")</f>
        <v/>
      </c>
      <c r="E394" s="15" t="inlineStr">
        <is>
          <t>Story Monday</t>
        </is>
      </c>
      <c r="F394" s="18" t="inlineStr">
        <is>
          <t>🧠 Educational Stories</t>
        </is>
      </c>
      <c r="G394" s="15" t="n">
        <v>29</v>
      </c>
      <c r="H394" s="15" t="inlineStr">
        <is>
          <t>The Tree That Needed Help</t>
        </is>
      </c>
      <c r="I394" s="15" t="inlineStr">
        <is>
          <t>The Tree That Needed Help 🧠 | Kids Stories | Tiny Sparks</t>
        </is>
      </c>
      <c r="J394" s="15" t="inlineStr">
        <is>
          <t>3–5</t>
        </is>
      </c>
      <c r="K394" s="15" t="inlineStr">
        <is>
          <t>Long 16:9 + Short teaser</t>
        </is>
      </c>
      <c r="L394" s="15" t="inlineStr">
        <is>
          <t>3–5 min (Short: 50 s)</t>
        </is>
      </c>
      <c r="M394" s="15" t="inlineStr">
        <is>
          <t>Mila, Leo, Bobo + narrator</t>
        </is>
      </c>
      <c r="N394" s="15" t="inlineStr">
        <is>
          <t>Life skill: helping others</t>
        </is>
      </c>
      <c r="O394" s="15" t="inlineStr">
        <is>
          <t>Yes</t>
        </is>
      </c>
      <c r="P394" s="15" t="inlineStr">
        <is>
          <t>P3</t>
        </is>
      </c>
      <c r="Q394" s="15" t="inlineStr">
        <is>
          <t>Idea</t>
        </is>
      </c>
      <c r="R394" s="48">
        <f>INDEX('Start Here'!$B$10:$B$16,WEEKDAY(C394,2))</f>
        <v/>
      </c>
      <c r="S394" s="48">
        <f>MOD(R394+'Start Here'!$B$6/24,1)</f>
        <v/>
      </c>
      <c r="T394" s="15" t="n"/>
      <c r="U394" s="15" t="n"/>
      <c r="V394" s="15" t="n"/>
      <c r="W394" s="15" t="n"/>
      <c r="X394" s="20" t="n"/>
      <c r="Y394" s="15" t="n"/>
    </row>
    <row r="395">
      <c r="A395" s="15" t="n">
        <v>394</v>
      </c>
      <c r="B395" s="16">
        <f>INT((A395-1)/7)+1</f>
        <v/>
      </c>
      <c r="C395" s="47">
        <f>'Start Here'!$B$5+A395-1</f>
        <v/>
      </c>
      <c r="D395" s="16">
        <f>TEXT(C395,"ddd")</f>
        <v/>
      </c>
      <c r="E395" s="15" t="inlineStr">
        <is>
          <t>Math Tuesday</t>
        </is>
      </c>
      <c r="F395" s="21" t="inlineStr">
        <is>
          <t>🔢 Numbers &amp; Math</t>
        </is>
      </c>
      <c r="G395" s="15" t="n">
        <v>57</v>
      </c>
      <c r="H395" s="15" t="inlineStr">
        <is>
          <t>2D Shapes for Kids</t>
        </is>
      </c>
      <c r="I395" s="15" t="inlineStr">
        <is>
          <t>2D Shapes for Kids 🔢 | Learn Math for Kids | Tiny Sparks</t>
        </is>
      </c>
      <c r="J395" s="15" t="inlineStr">
        <is>
          <t>3–5</t>
        </is>
      </c>
      <c r="K395" s="15" t="inlineStr">
        <is>
          <t>Short 9:16</t>
        </is>
      </c>
      <c r="L395" s="15" t="inlineStr">
        <is>
          <t>45–60 s</t>
        </is>
      </c>
      <c r="M395" s="15" t="inlineStr">
        <is>
          <t>Bobo + Mila (counting fingers)</t>
        </is>
      </c>
      <c r="N395" s="15" t="inlineStr">
        <is>
          <t>Math: 2D Shapes for Kids</t>
        </is>
      </c>
      <c r="O395" s="15" t="inlineStr">
        <is>
          <t>Yes</t>
        </is>
      </c>
      <c r="P395" s="15" t="inlineStr">
        <is>
          <t>P3</t>
        </is>
      </c>
      <c r="Q395" s="15" t="inlineStr">
        <is>
          <t>Idea</t>
        </is>
      </c>
      <c r="R395" s="48">
        <f>INDEX('Start Here'!$B$10:$B$16,WEEKDAY(C395,2))</f>
        <v/>
      </c>
      <c r="S395" s="48">
        <f>MOD(R395+'Start Here'!$B$6/24,1)</f>
        <v/>
      </c>
      <c r="T395" s="15" t="n"/>
      <c r="U395" s="15" t="n"/>
      <c r="V395" s="15" t="n"/>
      <c r="W395" s="15" t="n"/>
      <c r="X395" s="20" t="n"/>
      <c r="Y395" s="15" t="n"/>
    </row>
    <row r="396">
      <c r="A396" s="15" t="n">
        <v>395</v>
      </c>
      <c r="B396" s="16">
        <f>INT((A396-1)/7)+1</f>
        <v/>
      </c>
      <c r="C396" s="47">
        <f>'Start Here'!$B$5+A396-1</f>
        <v/>
      </c>
      <c r="D396" s="16">
        <f>TEXT(C396,"ddd")</f>
        <v/>
      </c>
      <c r="E396" s="15" t="inlineStr">
        <is>
          <t>Word Wednesday</t>
        </is>
      </c>
      <c r="F396" s="22" t="inlineStr">
        <is>
          <t>🔤 English/French Words</t>
        </is>
      </c>
      <c r="G396" s="15" t="n">
        <v>57</v>
      </c>
      <c r="H396" s="15" t="inlineStr">
        <is>
          <t>Saying Sorry</t>
        </is>
      </c>
      <c r="I396" s="15" t="inlineStr">
        <is>
          <t>Saying Sorry 🔤 | Kids Vocabulary | Tiny Sparks</t>
        </is>
      </c>
      <c r="J396" s="15" t="inlineStr">
        <is>
          <t>3–5</t>
        </is>
      </c>
      <c r="K396" s="15" t="inlineStr">
        <is>
          <t>Short 9:16</t>
        </is>
      </c>
      <c r="L396" s="15" t="inlineStr">
        <is>
          <t>45–60 s</t>
        </is>
      </c>
      <c r="M396" s="15" t="inlineStr">
        <is>
          <t>Mila + French narrator</t>
        </is>
      </c>
      <c r="N396" s="15" t="inlineStr">
        <is>
          <t>Vocabulary EN→FR: Saying Sorry</t>
        </is>
      </c>
      <c r="O396" s="15" t="inlineStr">
        <is>
          <t>Yes</t>
        </is>
      </c>
      <c r="P396" s="15" t="inlineStr">
        <is>
          <t>P3</t>
        </is>
      </c>
      <c r="Q396" s="15" t="inlineStr">
        <is>
          <t>Idea</t>
        </is>
      </c>
      <c r="R396" s="48">
        <f>INDEX('Start Here'!$B$10:$B$16,WEEKDAY(C396,2))</f>
        <v/>
      </c>
      <c r="S396" s="48">
        <f>MOD(R396+'Start Here'!$B$6/24,1)</f>
        <v/>
      </c>
      <c r="T396" s="15" t="n"/>
      <c r="U396" s="15" t="n"/>
      <c r="V396" s="15" t="n"/>
      <c r="W396" s="15" t="n"/>
      <c r="X396" s="20" t="n"/>
      <c r="Y396" s="15" t="n"/>
    </row>
    <row r="397">
      <c r="A397" s="15" t="n">
        <v>396</v>
      </c>
      <c r="B397" s="16">
        <f>INT((A397-1)/7)+1</f>
        <v/>
      </c>
      <c r="C397" s="47">
        <f>'Start Here'!$B$5+A397-1</f>
        <v/>
      </c>
      <c r="D397" s="16">
        <f>TEXT(C397,"ddd")</f>
        <v/>
      </c>
      <c r="E397" s="15" t="inlineStr">
        <is>
          <t>Animal Thursday</t>
        </is>
      </c>
      <c r="F397" s="23" t="inlineStr">
        <is>
          <t>🦁 Animal Stories</t>
        </is>
      </c>
      <c r="G397" s="15" t="n">
        <v>57</v>
      </c>
      <c r="H397" s="15" t="inlineStr">
        <is>
          <t>Animal School: The Talent Show</t>
        </is>
      </c>
      <c r="I397" s="15" t="inlineStr">
        <is>
          <t>Animal School: The Talent Show 🦁 | Animal Stories for Kids | Tiny Sparks</t>
        </is>
      </c>
      <c r="J397" s="15" t="inlineStr">
        <is>
          <t>3–5</t>
        </is>
      </c>
      <c r="K397" s="15" t="inlineStr">
        <is>
          <t>Long 16:9 + Short teaser</t>
        </is>
      </c>
      <c r="L397" s="15" t="inlineStr">
        <is>
          <t>3–5 min (Short: 50 s)</t>
        </is>
      </c>
      <c r="M397" s="15" t="inlineStr">
        <is>
          <t>guest animal(s) + Bobo</t>
        </is>
      </c>
      <c r="N397" s="15" t="inlineStr">
        <is>
          <t>Story + 3 true animal facts; value: friendship</t>
        </is>
      </c>
      <c r="O397" s="15" t="inlineStr">
        <is>
          <t>Yes</t>
        </is>
      </c>
      <c r="P397" s="15" t="inlineStr">
        <is>
          <t>P3</t>
        </is>
      </c>
      <c r="Q397" s="15" t="inlineStr">
        <is>
          <t>Idea</t>
        </is>
      </c>
      <c r="R397" s="48">
        <f>INDEX('Start Here'!$B$10:$B$16,WEEKDAY(C397,2))</f>
        <v/>
      </c>
      <c r="S397" s="48">
        <f>MOD(R397+'Start Here'!$B$6/24,1)</f>
        <v/>
      </c>
      <c r="T397" s="15" t="n"/>
      <c r="U397" s="15" t="n"/>
      <c r="V397" s="15" t="n"/>
      <c r="W397" s="15" t="n"/>
      <c r="X397" s="20" t="n"/>
      <c r="Y397" s="15" t="n"/>
    </row>
    <row r="398">
      <c r="A398" s="15" t="n">
        <v>397</v>
      </c>
      <c r="B398" s="16">
        <f>INT((A398-1)/7)+1</f>
        <v/>
      </c>
      <c r="C398" s="47">
        <f>'Start Here'!$B$5+A398-1</f>
        <v/>
      </c>
      <c r="D398" s="16">
        <f>TEXT(C398,"ddd")</f>
        <v/>
      </c>
      <c r="E398" s="15" t="inlineStr">
        <is>
          <t>Science Friday</t>
        </is>
      </c>
      <c r="F398" s="24" t="inlineStr">
        <is>
          <t>🚀 Science for Kids</t>
        </is>
      </c>
      <c r="G398" s="15" t="n">
        <v>57</v>
      </c>
      <c r="H398" s="15" t="inlineStr">
        <is>
          <t>How Do Volcanoes Work?</t>
        </is>
      </c>
      <c r="I398" s="15" t="inlineStr">
        <is>
          <t>How Do Volcanoes Work? 🚀 | Science for Kids | Tiny Sparks</t>
        </is>
      </c>
      <c r="J398" s="15" t="inlineStr">
        <is>
          <t>6–8</t>
        </is>
      </c>
      <c r="K398" s="15" t="inlineStr">
        <is>
          <t>Short 9:16</t>
        </is>
      </c>
      <c r="L398" s="15" t="inlineStr">
        <is>
          <t>45–60 s</t>
        </is>
      </c>
      <c r="M398" s="15" t="inlineStr">
        <is>
          <t>Prof. Hoot + Leo (wrong guess) + Mila</t>
        </is>
      </c>
      <c r="N398" s="15" t="inlineStr">
        <is>
          <t>Answer simply: How Do Volcanoes Work?</t>
        </is>
      </c>
      <c r="O398" s="15" t="inlineStr">
        <is>
          <t>Yes</t>
        </is>
      </c>
      <c r="P398" s="15" t="inlineStr">
        <is>
          <t>P3</t>
        </is>
      </c>
      <c r="Q398" s="15" t="inlineStr">
        <is>
          <t>Idea</t>
        </is>
      </c>
      <c r="R398" s="48">
        <f>INDEX('Start Here'!$B$10:$B$16,WEEKDAY(C398,2))</f>
        <v/>
      </c>
      <c r="S398" s="48">
        <f>MOD(R398+'Start Here'!$B$6/24,1)</f>
        <v/>
      </c>
      <c r="T398" s="15" t="n"/>
      <c r="U398" s="15" t="n"/>
      <c r="V398" s="15" t="n"/>
      <c r="W398" s="15" t="n"/>
      <c r="X398" s="20" t="n"/>
      <c r="Y398" s="15" t="n"/>
    </row>
    <row r="399">
      <c r="A399" s="15" t="n">
        <v>398</v>
      </c>
      <c r="B399" s="16">
        <f>INT((A399-1)/7)+1</f>
        <v/>
      </c>
      <c r="C399" s="47">
        <f>'Start Here'!$B$5+A399-1</f>
        <v/>
      </c>
      <c r="D399" s="16">
        <f>TEXT(C399,"ddd")</f>
        <v/>
      </c>
      <c r="E399" s="15" t="inlineStr">
        <is>
          <t>Puzzle Saturday</t>
        </is>
      </c>
      <c r="F399" s="25" t="inlineStr">
        <is>
          <t>🧩 Puzzles &amp; Problem-Solving</t>
        </is>
      </c>
      <c r="G399" s="15" t="n">
        <v>57</v>
      </c>
      <c r="H399" s="15" t="inlineStr">
        <is>
          <t>Dinosaur Riddles</t>
        </is>
      </c>
      <c r="I399" s="15" t="inlineStr">
        <is>
          <t>Dinosaur Riddles 🧩 | Brain Games for Kids | Tiny Sparks</t>
        </is>
      </c>
      <c r="J399" s="15" t="inlineStr">
        <is>
          <t>6–8</t>
        </is>
      </c>
      <c r="K399" s="15" t="inlineStr">
        <is>
          <t>Short 9:16</t>
        </is>
      </c>
      <c r="L399" s="15" t="inlineStr">
        <is>
          <t>45–60 s</t>
        </is>
      </c>
      <c r="M399" s="15" t="inlineStr">
        <is>
          <t>Prof. Hoot + Leo + score strip</t>
        </is>
      </c>
      <c r="N399" s="15" t="inlineStr">
        <is>
          <t>Thinking skill: reasoning</t>
        </is>
      </c>
      <c r="O399" s="15" t="inlineStr">
        <is>
          <t>Build first: dinosaur</t>
        </is>
      </c>
      <c r="P399" s="15" t="inlineStr">
        <is>
          <t>P3</t>
        </is>
      </c>
      <c r="Q399" s="15" t="inlineStr">
        <is>
          <t>Idea</t>
        </is>
      </c>
      <c r="R399" s="48">
        <f>INDEX('Start Here'!$B$10:$B$16,WEEKDAY(C399,2))</f>
        <v/>
      </c>
      <c r="S399" s="48">
        <f>MOD(R399+'Start Here'!$B$6/24,1)</f>
        <v/>
      </c>
      <c r="T399" s="15" t="n"/>
      <c r="U399" s="15" t="n"/>
      <c r="V399" s="15" t="n"/>
      <c r="W399" s="15" t="n"/>
      <c r="X399" s="20" t="n"/>
      <c r="Y399" s="15" t="n"/>
    </row>
    <row r="400">
      <c r="A400" s="15" t="n">
        <v>399</v>
      </c>
      <c r="B400" s="16">
        <f>INT((A400-1)/7)+1</f>
        <v/>
      </c>
      <c r="C400" s="47">
        <f>'Start Here'!$B$5+A400-1</f>
        <v/>
      </c>
      <c r="D400" s="16">
        <f>TEXT(C400,"ddd")</f>
        <v/>
      </c>
      <c r="E400" s="15" t="inlineStr">
        <is>
          <t>Song Sunday</t>
        </is>
      </c>
      <c r="F400" s="26" t="inlineStr">
        <is>
          <t>🎵 Educational Songs</t>
        </is>
      </c>
      <c r="G400" s="15" t="n">
        <v>57</v>
      </c>
      <c r="H400" s="15" t="inlineStr">
        <is>
          <t>Exercise Song</t>
        </is>
      </c>
      <c r="I400" s="15" t="inlineStr">
        <is>
          <t>Exercise Song 🎵 | Kids Songs | Tiny Sparks</t>
        </is>
      </c>
      <c r="J400" s="15" t="inlineStr">
        <is>
          <t>3–5</t>
        </is>
      </c>
      <c r="K400" s="15" t="inlineStr">
        <is>
          <t>Long 16:9 + Short cut</t>
        </is>
      </c>
      <c r="L400" s="15" t="inlineStr">
        <is>
          <t>2–3 min (Short: 45 s chorus)</t>
        </is>
      </c>
      <c r="M400" s="15" t="inlineStr">
        <is>
          <t>Mila sings, all dance</t>
        </is>
      </c>
      <c r="N400" s="15" t="inlineStr">
        <is>
          <t>Sing &amp; learn: Exercise</t>
        </is>
      </c>
      <c r="O400" s="15" t="inlineStr">
        <is>
          <t>Yes</t>
        </is>
      </c>
      <c r="P400" s="15" t="inlineStr">
        <is>
          <t>P3</t>
        </is>
      </c>
      <c r="Q400" s="15" t="inlineStr">
        <is>
          <t>Idea</t>
        </is>
      </c>
      <c r="R400" s="48">
        <f>INDEX('Start Here'!$B$10:$B$16,WEEKDAY(C400,2))</f>
        <v/>
      </c>
      <c r="S400" s="48">
        <f>MOD(R400+'Start Here'!$B$6/24,1)</f>
        <v/>
      </c>
      <c r="T400" s="15" t="n"/>
      <c r="U400" s="15" t="n"/>
      <c r="V400" s="15" t="n"/>
      <c r="W400" s="15" t="n"/>
      <c r="X400" s="20" t="n"/>
      <c r="Y400" s="15" t="n"/>
    </row>
    <row r="401">
      <c r="A401" s="15" t="n">
        <v>400</v>
      </c>
      <c r="B401" s="16">
        <f>INT((A401-1)/7)+1</f>
        <v/>
      </c>
      <c r="C401" s="47">
        <f>'Start Here'!$B$5+A401-1</f>
        <v/>
      </c>
      <c r="D401" s="16">
        <f>TEXT(C401,"ddd")</f>
        <v/>
      </c>
      <c r="E401" s="15" t="inlineStr">
        <is>
          <t>Story Monday</t>
        </is>
      </c>
      <c r="F401" s="27" t="inlineStr">
        <is>
          <t>📚 Moral Stories</t>
        </is>
      </c>
      <c r="G401" s="15" t="n">
        <v>29</v>
      </c>
      <c r="H401" s="15" t="inlineStr">
        <is>
          <t>The Patient Turtle</t>
        </is>
      </c>
      <c r="I401" s="15" t="inlineStr">
        <is>
          <t>The Patient Turtle 📚 | Moral Stories for Kids | Tiny Sparks</t>
        </is>
      </c>
      <c r="J401" s="15" t="inlineStr">
        <is>
          <t>3–5</t>
        </is>
      </c>
      <c r="K401" s="15" t="inlineStr">
        <is>
          <t>Long 16:9 + Short teaser</t>
        </is>
      </c>
      <c r="L401" s="15" t="inlineStr">
        <is>
          <t>3–5 min (Short: 50 s)</t>
        </is>
      </c>
      <c r="M401" s="15" t="inlineStr">
        <is>
          <t>narrator + guest animals / Mila &amp; Leo</t>
        </is>
      </c>
      <c r="N401" s="15" t="inlineStr">
        <is>
          <t>Value: patience</t>
        </is>
      </c>
      <c r="O401" s="15" t="inlineStr">
        <is>
          <t>Build first: turtle</t>
        </is>
      </c>
      <c r="P401" s="15" t="inlineStr">
        <is>
          <t>P3</t>
        </is>
      </c>
      <c r="Q401" s="15" t="inlineStr">
        <is>
          <t>Idea</t>
        </is>
      </c>
      <c r="R401" s="48">
        <f>INDEX('Start Here'!$B$10:$B$16,WEEKDAY(C401,2))</f>
        <v/>
      </c>
      <c r="S401" s="48">
        <f>MOD(R401+'Start Here'!$B$6/24,1)</f>
        <v/>
      </c>
      <c r="T401" s="15" t="n"/>
      <c r="U401" s="15" t="n"/>
      <c r="V401" s="15" t="n"/>
      <c r="W401" s="15" t="n"/>
      <c r="X401" s="20" t="n"/>
      <c r="Y401" s="15" t="n"/>
    </row>
    <row r="402">
      <c r="A402" s="15" t="n">
        <v>401</v>
      </c>
      <c r="B402" s="16">
        <f>INT((A402-1)/7)+1</f>
        <v/>
      </c>
      <c r="C402" s="47">
        <f>'Start Here'!$B$5+A402-1</f>
        <v/>
      </c>
      <c r="D402" s="16">
        <f>TEXT(C402,"ddd")</f>
        <v/>
      </c>
      <c r="E402" s="15" t="inlineStr">
        <is>
          <t>Math Tuesday</t>
        </is>
      </c>
      <c r="F402" s="21" t="inlineStr">
        <is>
          <t>🔢 Numbers &amp; Math</t>
        </is>
      </c>
      <c r="G402" s="15" t="n">
        <v>58</v>
      </c>
      <c r="H402" s="15" t="inlineStr">
        <is>
          <t>3D Shapes for Kids</t>
        </is>
      </c>
      <c r="I402" s="15" t="inlineStr">
        <is>
          <t>3D Shapes for Kids 🔢 | Learn Math for Kids | Tiny Sparks</t>
        </is>
      </c>
      <c r="J402" s="15" t="inlineStr">
        <is>
          <t>3–5</t>
        </is>
      </c>
      <c r="K402" s="15" t="inlineStr">
        <is>
          <t>Short 9:16</t>
        </is>
      </c>
      <c r="L402" s="15" t="inlineStr">
        <is>
          <t>45–60 s</t>
        </is>
      </c>
      <c r="M402" s="15" t="inlineStr">
        <is>
          <t>Bobo + Mila (counting fingers)</t>
        </is>
      </c>
      <c r="N402" s="15" t="inlineStr">
        <is>
          <t>Math: 3D Shapes for Kids</t>
        </is>
      </c>
      <c r="O402" s="15" t="inlineStr">
        <is>
          <t>Yes</t>
        </is>
      </c>
      <c r="P402" s="15" t="inlineStr">
        <is>
          <t>P3</t>
        </is>
      </c>
      <c r="Q402" s="15" t="inlineStr">
        <is>
          <t>Idea</t>
        </is>
      </c>
      <c r="R402" s="48">
        <f>INDEX('Start Here'!$B$10:$B$16,WEEKDAY(C402,2))</f>
        <v/>
      </c>
      <c r="S402" s="48">
        <f>MOD(R402+'Start Here'!$B$6/24,1)</f>
        <v/>
      </c>
      <c r="T402" s="15" t="n"/>
      <c r="U402" s="15" t="n"/>
      <c r="V402" s="15" t="n"/>
      <c r="W402" s="15" t="n"/>
      <c r="X402" s="20" t="n"/>
      <c r="Y402" s="15" t="n"/>
    </row>
    <row r="403">
      <c r="A403" s="15" t="n">
        <v>402</v>
      </c>
      <c r="B403" s="16">
        <f>INT((A403-1)/7)+1</f>
        <v/>
      </c>
      <c r="C403" s="47">
        <f>'Start Here'!$B$5+A403-1</f>
        <v/>
      </c>
      <c r="D403" s="16">
        <f>TEXT(C403,"ddd")</f>
        <v/>
      </c>
      <c r="E403" s="15" t="inlineStr">
        <is>
          <t>Word Wednesday</t>
        </is>
      </c>
      <c r="F403" s="22" t="inlineStr">
        <is>
          <t>🔤 English/French Words</t>
        </is>
      </c>
      <c r="G403" s="15" t="n">
        <v>58</v>
      </c>
      <c r="H403" s="15" t="inlineStr">
        <is>
          <t>Classroom Expressions</t>
        </is>
      </c>
      <c r="I403" s="15" t="inlineStr">
        <is>
          <t>Classroom Expressions 🔤 | Kids Vocabulary | Tiny Sparks</t>
        </is>
      </c>
      <c r="J403" s="15" t="inlineStr">
        <is>
          <t>6–8</t>
        </is>
      </c>
      <c r="K403" s="15" t="inlineStr">
        <is>
          <t>Short 9:16</t>
        </is>
      </c>
      <c r="L403" s="15" t="inlineStr">
        <is>
          <t>45–60 s</t>
        </is>
      </c>
      <c r="M403" s="15" t="inlineStr">
        <is>
          <t>Mila + French narrator</t>
        </is>
      </c>
      <c r="N403" s="15" t="inlineStr">
        <is>
          <t>Vocabulary EN→FR: Classroom Expressions</t>
        </is>
      </c>
      <c r="O403" s="15" t="inlineStr">
        <is>
          <t>Yes</t>
        </is>
      </c>
      <c r="P403" s="15" t="inlineStr">
        <is>
          <t>P3</t>
        </is>
      </c>
      <c r="Q403" s="15" t="inlineStr">
        <is>
          <t>Idea</t>
        </is>
      </c>
      <c r="R403" s="48">
        <f>INDEX('Start Here'!$B$10:$B$16,WEEKDAY(C403,2))</f>
        <v/>
      </c>
      <c r="S403" s="48">
        <f>MOD(R403+'Start Here'!$B$6/24,1)</f>
        <v/>
      </c>
      <c r="T403" s="15" t="n"/>
      <c r="U403" s="15" t="n"/>
      <c r="V403" s="15" t="n"/>
      <c r="W403" s="15" t="n"/>
      <c r="X403" s="20" t="n"/>
      <c r="Y403" s="15" t="n"/>
    </row>
    <row r="404">
      <c r="A404" s="15" t="n">
        <v>403</v>
      </c>
      <c r="B404" s="16">
        <f>INT((A404-1)/7)+1</f>
        <v/>
      </c>
      <c r="C404" s="47">
        <f>'Start Here'!$B$5+A404-1</f>
        <v/>
      </c>
      <c r="D404" s="16">
        <f>TEXT(C404,"ddd")</f>
        <v/>
      </c>
      <c r="E404" s="15" t="inlineStr">
        <is>
          <t>Animal Thursday</t>
        </is>
      </c>
      <c r="F404" s="23" t="inlineStr">
        <is>
          <t>🦁 Animal Stories</t>
        </is>
      </c>
      <c r="G404" s="15" t="n">
        <v>58</v>
      </c>
      <c r="H404" s="15" t="inlineStr">
        <is>
          <t>Animal School: Field Trip</t>
        </is>
      </c>
      <c r="I404" s="15" t="inlineStr">
        <is>
          <t>Animal School: Field Trip 🦁 | Animal Stories for Kids | Tiny Sparks</t>
        </is>
      </c>
      <c r="J404" s="15" t="inlineStr">
        <is>
          <t>3–5</t>
        </is>
      </c>
      <c r="K404" s="15" t="inlineStr">
        <is>
          <t>Long 16:9 + Short teaser</t>
        </is>
      </c>
      <c r="L404" s="15" t="inlineStr">
        <is>
          <t>3–5 min (Short: 50 s)</t>
        </is>
      </c>
      <c r="M404" s="15" t="inlineStr">
        <is>
          <t>guest animal(s) + Bobo</t>
        </is>
      </c>
      <c r="N404" s="15" t="inlineStr">
        <is>
          <t>Story + 3 true animal facts; value: friendship</t>
        </is>
      </c>
      <c r="O404" s="15" t="inlineStr">
        <is>
          <t>Yes</t>
        </is>
      </c>
      <c r="P404" s="15" t="inlineStr">
        <is>
          <t>P3</t>
        </is>
      </c>
      <c r="Q404" s="15" t="inlineStr">
        <is>
          <t>Idea</t>
        </is>
      </c>
      <c r="R404" s="48">
        <f>INDEX('Start Here'!$B$10:$B$16,WEEKDAY(C404,2))</f>
        <v/>
      </c>
      <c r="S404" s="48">
        <f>MOD(R404+'Start Here'!$B$6/24,1)</f>
        <v/>
      </c>
      <c r="T404" s="15" t="n"/>
      <c r="U404" s="15" t="n"/>
      <c r="V404" s="15" t="n"/>
      <c r="W404" s="15" t="n"/>
      <c r="X404" s="20" t="n"/>
      <c r="Y404" s="15" t="n"/>
    </row>
    <row r="405">
      <c r="A405" s="15" t="n">
        <v>404</v>
      </c>
      <c r="B405" s="16">
        <f>INT((A405-1)/7)+1</f>
        <v/>
      </c>
      <c r="C405" s="47">
        <f>'Start Here'!$B$5+A405-1</f>
        <v/>
      </c>
      <c r="D405" s="16">
        <f>TEXT(C405,"ddd")</f>
        <v/>
      </c>
      <c r="E405" s="15" t="inlineStr">
        <is>
          <t>Science Friday</t>
        </is>
      </c>
      <c r="F405" s="24" t="inlineStr">
        <is>
          <t>🚀 Science for Kids</t>
        </is>
      </c>
      <c r="G405" s="15" t="n">
        <v>58</v>
      </c>
      <c r="H405" s="15" t="inlineStr">
        <is>
          <t>What Causes Earthquakes?</t>
        </is>
      </c>
      <c r="I405" s="15" t="inlineStr">
        <is>
          <t>What Causes Earthquakes? 🚀 | Science for Kids | Tiny Sparks</t>
        </is>
      </c>
      <c r="J405" s="15" t="inlineStr">
        <is>
          <t>6–8</t>
        </is>
      </c>
      <c r="K405" s="15" t="inlineStr">
        <is>
          <t>Short 9:16</t>
        </is>
      </c>
      <c r="L405" s="15" t="inlineStr">
        <is>
          <t>45–60 s</t>
        </is>
      </c>
      <c r="M405" s="15" t="inlineStr">
        <is>
          <t>Prof. Hoot + Leo (wrong guess) + Mila</t>
        </is>
      </c>
      <c r="N405" s="15" t="inlineStr">
        <is>
          <t>Answer simply: What Causes Earthquakes?</t>
        </is>
      </c>
      <c r="O405" s="15" t="inlineStr">
        <is>
          <t>Yes</t>
        </is>
      </c>
      <c r="P405" s="15" t="inlineStr">
        <is>
          <t>P3</t>
        </is>
      </c>
      <c r="Q405" s="15" t="inlineStr">
        <is>
          <t>Idea</t>
        </is>
      </c>
      <c r="R405" s="48">
        <f>INDEX('Start Here'!$B$10:$B$16,WEEKDAY(C405,2))</f>
        <v/>
      </c>
      <c r="S405" s="48">
        <f>MOD(R405+'Start Here'!$B$6/24,1)</f>
        <v/>
      </c>
      <c r="T405" s="15" t="n"/>
      <c r="U405" s="15" t="n"/>
      <c r="V405" s="15" t="n"/>
      <c r="W405" s="15" t="n"/>
      <c r="X405" s="20" t="n"/>
      <c r="Y405" s="15" t="n"/>
    </row>
    <row r="406">
      <c r="A406" s="15" t="n">
        <v>405</v>
      </c>
      <c r="B406" s="16">
        <f>INT((A406-1)/7)+1</f>
        <v/>
      </c>
      <c r="C406" s="47">
        <f>'Start Here'!$B$5+A406-1</f>
        <v/>
      </c>
      <c r="D406" s="16">
        <f>TEXT(C406,"ddd")</f>
        <v/>
      </c>
      <c r="E406" s="15" t="inlineStr">
        <is>
          <t>Puzzle Saturday</t>
        </is>
      </c>
      <c r="F406" s="25" t="inlineStr">
        <is>
          <t>🧩 Puzzles &amp; Problem-Solving</t>
        </is>
      </c>
      <c r="G406" s="15" t="n">
        <v>58</v>
      </c>
      <c r="H406" s="15" t="inlineStr">
        <is>
          <t>Color Riddles</t>
        </is>
      </c>
      <c r="I406" s="15" t="inlineStr">
        <is>
          <t>Color Riddles 🧩 | Brain Games for Kids | Tiny Sparks</t>
        </is>
      </c>
      <c r="J406" s="15" t="inlineStr">
        <is>
          <t>6–8</t>
        </is>
      </c>
      <c r="K406" s="15" t="inlineStr">
        <is>
          <t>Short 9:16</t>
        </is>
      </c>
      <c r="L406" s="15" t="inlineStr">
        <is>
          <t>45–60 s</t>
        </is>
      </c>
      <c r="M406" s="15" t="inlineStr">
        <is>
          <t>Prof. Hoot + Leo + score strip</t>
        </is>
      </c>
      <c r="N406" s="15" t="inlineStr">
        <is>
          <t>Thinking skill: reasoning</t>
        </is>
      </c>
      <c r="O406" s="15" t="inlineStr">
        <is>
          <t>Yes</t>
        </is>
      </c>
      <c r="P406" s="15" t="inlineStr">
        <is>
          <t>P3</t>
        </is>
      </c>
      <c r="Q406" s="15" t="inlineStr">
        <is>
          <t>Idea</t>
        </is>
      </c>
      <c r="R406" s="48">
        <f>INDEX('Start Here'!$B$10:$B$16,WEEKDAY(C406,2))</f>
        <v/>
      </c>
      <c r="S406" s="48">
        <f>MOD(R406+'Start Here'!$B$6/24,1)</f>
        <v/>
      </c>
      <c r="T406" s="15" t="n"/>
      <c r="U406" s="15" t="n"/>
      <c r="V406" s="15" t="n"/>
      <c r="W406" s="15" t="n"/>
      <c r="X406" s="20" t="n"/>
      <c r="Y406" s="15" t="n"/>
    </row>
    <row r="407">
      <c r="A407" s="15" t="n">
        <v>406</v>
      </c>
      <c r="B407" s="16">
        <f>INT((A407-1)/7)+1</f>
        <v/>
      </c>
      <c r="C407" s="47">
        <f>'Start Here'!$B$5+A407-1</f>
        <v/>
      </c>
      <c r="D407" s="16">
        <f>TEXT(C407,"ddd")</f>
        <v/>
      </c>
      <c r="E407" s="15" t="inlineStr">
        <is>
          <t>Song Sunday</t>
        </is>
      </c>
      <c r="F407" s="26" t="inlineStr">
        <is>
          <t>🎵 Educational Songs</t>
        </is>
      </c>
      <c r="G407" s="15" t="n">
        <v>58</v>
      </c>
      <c r="H407" s="15" t="inlineStr">
        <is>
          <t>Clean Your Room Song</t>
        </is>
      </c>
      <c r="I407" s="15" t="inlineStr">
        <is>
          <t>Clean Your Room Song 🎵 | Kids Songs | Tiny Sparks</t>
        </is>
      </c>
      <c r="J407" s="15" t="inlineStr">
        <is>
          <t>3–5</t>
        </is>
      </c>
      <c r="K407" s="15" t="inlineStr">
        <is>
          <t>Long 16:9 + Short cut</t>
        </is>
      </c>
      <c r="L407" s="15" t="inlineStr">
        <is>
          <t>2–3 min (Short: 45 s chorus)</t>
        </is>
      </c>
      <c r="M407" s="15" t="inlineStr">
        <is>
          <t>Mila sings, all dance</t>
        </is>
      </c>
      <c r="N407" s="15" t="inlineStr">
        <is>
          <t>Sing &amp; learn: Clean Your Room</t>
        </is>
      </c>
      <c r="O407" s="15" t="inlineStr">
        <is>
          <t>Yes</t>
        </is>
      </c>
      <c r="P407" s="15" t="inlineStr">
        <is>
          <t>P3</t>
        </is>
      </c>
      <c r="Q407" s="15" t="inlineStr">
        <is>
          <t>Idea</t>
        </is>
      </c>
      <c r="R407" s="48">
        <f>INDEX('Start Here'!$B$10:$B$16,WEEKDAY(C407,2))</f>
        <v/>
      </c>
      <c r="S407" s="48">
        <f>MOD(R407+'Start Here'!$B$6/24,1)</f>
        <v/>
      </c>
      <c r="T407" s="15" t="n"/>
      <c r="U407" s="15" t="n"/>
      <c r="V407" s="15" t="n"/>
      <c r="W407" s="15" t="n"/>
      <c r="X407" s="20" t="n"/>
      <c r="Y407" s="15" t="n"/>
    </row>
    <row r="408">
      <c r="A408" s="15" t="n">
        <v>407</v>
      </c>
      <c r="B408" s="16">
        <f>INT((A408-1)/7)+1</f>
        <v/>
      </c>
      <c r="C408" s="47">
        <f>'Start Here'!$B$5+A408-1</f>
        <v/>
      </c>
      <c r="D408" s="16">
        <f>TEXT(C408,"ddd")</f>
        <v/>
      </c>
      <c r="E408" s="15" t="inlineStr">
        <is>
          <t>Story Monday</t>
        </is>
      </c>
      <c r="F408" s="18" t="inlineStr">
        <is>
          <t>🧠 Educational Stories</t>
        </is>
      </c>
      <c r="G408" s="15" t="n">
        <v>30</v>
      </c>
      <c r="H408" s="15" t="inlineStr">
        <is>
          <t>Lily Learns to Protect Nature</t>
        </is>
      </c>
      <c r="I408" s="15" t="inlineStr">
        <is>
          <t>Mila Learns to Protect Nature 🧠 | Kids Stories | Tiny Sparks</t>
        </is>
      </c>
      <c r="J408" s="15" t="inlineStr">
        <is>
          <t>3–5</t>
        </is>
      </c>
      <c r="K408" s="15" t="inlineStr">
        <is>
          <t>Long 16:9 + Short teaser</t>
        </is>
      </c>
      <c r="L408" s="15" t="inlineStr">
        <is>
          <t>3–5 min (Short: 50 s)</t>
        </is>
      </c>
      <c r="M408" s="15" t="inlineStr">
        <is>
          <t>Mila (lead) · Mila, Leo, Bobo + narrator</t>
        </is>
      </c>
      <c r="N408" s="15" t="inlineStr">
        <is>
          <t>Life skill: Protect Nature</t>
        </is>
      </c>
      <c r="O408" s="15" t="inlineStr">
        <is>
          <t>Yes</t>
        </is>
      </c>
      <c r="P408" s="15" t="inlineStr">
        <is>
          <t>P3</t>
        </is>
      </c>
      <c r="Q408" s="15" t="inlineStr">
        <is>
          <t>Idea</t>
        </is>
      </c>
      <c r="R408" s="48">
        <f>INDEX('Start Here'!$B$10:$B$16,WEEKDAY(C408,2))</f>
        <v/>
      </c>
      <c r="S408" s="48">
        <f>MOD(R408+'Start Here'!$B$6/24,1)</f>
        <v/>
      </c>
      <c r="T408" s="15" t="n"/>
      <c r="U408" s="15" t="n"/>
      <c r="V408" s="15" t="n"/>
      <c r="W408" s="15" t="n"/>
      <c r="X408" s="20" t="n"/>
      <c r="Y408" s="15" t="n"/>
    </row>
    <row r="409">
      <c r="A409" s="15" t="n">
        <v>408</v>
      </c>
      <c r="B409" s="16">
        <f>INT((A409-1)/7)+1</f>
        <v/>
      </c>
      <c r="C409" s="47">
        <f>'Start Here'!$B$5+A409-1</f>
        <v/>
      </c>
      <c r="D409" s="16">
        <f>TEXT(C409,"ddd")</f>
        <v/>
      </c>
      <c r="E409" s="15" t="inlineStr">
        <is>
          <t>Math Tuesday</t>
        </is>
      </c>
      <c r="F409" s="21" t="inlineStr">
        <is>
          <t>🔢 Numbers &amp; Math</t>
        </is>
      </c>
      <c r="G409" s="15" t="n">
        <v>59</v>
      </c>
      <c r="H409" s="15" t="inlineStr">
        <is>
          <t>Cube, Sphere and Cylinder</t>
        </is>
      </c>
      <c r="I409" s="15" t="inlineStr">
        <is>
          <t>Cube, Sphere and Cylinder 🔢 | Learn Math for Kids | Tiny Sparks</t>
        </is>
      </c>
      <c r="J409" s="15" t="inlineStr">
        <is>
          <t>3–5</t>
        </is>
      </c>
      <c r="K409" s="15" t="inlineStr">
        <is>
          <t>Short 9:16</t>
        </is>
      </c>
      <c r="L409" s="15" t="inlineStr">
        <is>
          <t>45–60 s</t>
        </is>
      </c>
      <c r="M409" s="15" t="inlineStr">
        <is>
          <t>Bobo + Mila (counting fingers)</t>
        </is>
      </c>
      <c r="N409" s="15" t="inlineStr">
        <is>
          <t>Math: Cube, Sphere and Cylinder</t>
        </is>
      </c>
      <c r="O409" s="15" t="inlineStr">
        <is>
          <t>Yes</t>
        </is>
      </c>
      <c r="P409" s="15" t="inlineStr">
        <is>
          <t>P3</t>
        </is>
      </c>
      <c r="Q409" s="15" t="inlineStr">
        <is>
          <t>Idea</t>
        </is>
      </c>
      <c r="R409" s="48">
        <f>INDEX('Start Here'!$B$10:$B$16,WEEKDAY(C409,2))</f>
        <v/>
      </c>
      <c r="S409" s="48">
        <f>MOD(R409+'Start Here'!$B$6/24,1)</f>
        <v/>
      </c>
      <c r="T409" s="15" t="n"/>
      <c r="U409" s="15" t="n"/>
      <c r="V409" s="15" t="n"/>
      <c r="W409" s="15" t="n"/>
      <c r="X409" s="20" t="n"/>
      <c r="Y409" s="15" t="n"/>
    </row>
    <row r="410">
      <c r="A410" s="15" t="n">
        <v>409</v>
      </c>
      <c r="B410" s="16">
        <f>INT((A410-1)/7)+1</f>
        <v/>
      </c>
      <c r="C410" s="47">
        <f>'Start Here'!$B$5+A410-1</f>
        <v/>
      </c>
      <c r="D410" s="16">
        <f>TEXT(C410,"ddd")</f>
        <v/>
      </c>
      <c r="E410" s="15" t="inlineStr">
        <is>
          <t>Word Wednesday</t>
        </is>
      </c>
      <c r="F410" s="22" t="inlineStr">
        <is>
          <t>🔤 English/French Words</t>
        </is>
      </c>
      <c r="G410" s="15" t="n">
        <v>59</v>
      </c>
      <c r="H410" s="15" t="inlineStr">
        <is>
          <t>Asking for Help</t>
        </is>
      </c>
      <c r="I410" s="15" t="inlineStr">
        <is>
          <t>Asking for Help 🔤 | Kids Vocabulary | Tiny Sparks</t>
        </is>
      </c>
      <c r="J410" s="15" t="inlineStr">
        <is>
          <t>6–8</t>
        </is>
      </c>
      <c r="K410" s="15" t="inlineStr">
        <is>
          <t>Short 9:16</t>
        </is>
      </c>
      <c r="L410" s="15" t="inlineStr">
        <is>
          <t>45–60 s</t>
        </is>
      </c>
      <c r="M410" s="15" t="inlineStr">
        <is>
          <t>Mila + French narrator</t>
        </is>
      </c>
      <c r="N410" s="15" t="inlineStr">
        <is>
          <t>Vocabulary EN→FR: Asking for Help</t>
        </is>
      </c>
      <c r="O410" s="15" t="inlineStr">
        <is>
          <t>Yes</t>
        </is>
      </c>
      <c r="P410" s="15" t="inlineStr">
        <is>
          <t>P3</t>
        </is>
      </c>
      <c r="Q410" s="15" t="inlineStr">
        <is>
          <t>Idea</t>
        </is>
      </c>
      <c r="R410" s="48">
        <f>INDEX('Start Here'!$B$10:$B$16,WEEKDAY(C410,2))</f>
        <v/>
      </c>
      <c r="S410" s="48">
        <f>MOD(R410+'Start Here'!$B$6/24,1)</f>
        <v/>
      </c>
      <c r="T410" s="15" t="n"/>
      <c r="U410" s="15" t="n"/>
      <c r="V410" s="15" t="n"/>
      <c r="W410" s="15" t="n"/>
      <c r="X410" s="20" t="n"/>
      <c r="Y410" s="15" t="n"/>
    </row>
    <row r="411">
      <c r="A411" s="15" t="n">
        <v>410</v>
      </c>
      <c r="B411" s="16">
        <f>INT((A411-1)/7)+1</f>
        <v/>
      </c>
      <c r="C411" s="47">
        <f>'Start Here'!$B$5+A411-1</f>
        <v/>
      </c>
      <c r="D411" s="16">
        <f>TEXT(C411,"ddd")</f>
        <v/>
      </c>
      <c r="E411" s="15" t="inlineStr">
        <is>
          <t>Animal Thursday</t>
        </is>
      </c>
      <c r="F411" s="23" t="inlineStr">
        <is>
          <t>🦁 Animal Stories</t>
        </is>
      </c>
      <c r="G411" s="15" t="n">
        <v>59</v>
      </c>
      <c r="H411" s="15" t="inlineStr">
        <is>
          <t>Animal School: New Student</t>
        </is>
      </c>
      <c r="I411" s="15" t="inlineStr">
        <is>
          <t>Animal School: New Student 🦁 | Animal Stories for Kids | Tiny Sparks</t>
        </is>
      </c>
      <c r="J411" s="15" t="inlineStr">
        <is>
          <t>3–5</t>
        </is>
      </c>
      <c r="K411" s="15" t="inlineStr">
        <is>
          <t>Long 16:9 + Short teaser</t>
        </is>
      </c>
      <c r="L411" s="15" t="inlineStr">
        <is>
          <t>3–5 min (Short: 50 s)</t>
        </is>
      </c>
      <c r="M411" s="15" t="inlineStr">
        <is>
          <t>guest animal(s) + Bobo</t>
        </is>
      </c>
      <c r="N411" s="15" t="inlineStr">
        <is>
          <t>Story + 3 true animal facts; value: including others</t>
        </is>
      </c>
      <c r="O411" s="15" t="inlineStr">
        <is>
          <t>Yes</t>
        </is>
      </c>
      <c r="P411" s="15" t="inlineStr">
        <is>
          <t>P3</t>
        </is>
      </c>
      <c r="Q411" s="15" t="inlineStr">
        <is>
          <t>Idea</t>
        </is>
      </c>
      <c r="R411" s="48">
        <f>INDEX('Start Here'!$B$10:$B$16,WEEKDAY(C411,2))</f>
        <v/>
      </c>
      <c r="S411" s="48">
        <f>MOD(R411+'Start Here'!$B$6/24,1)</f>
        <v/>
      </c>
      <c r="T411" s="15" t="n"/>
      <c r="U411" s="15" t="n"/>
      <c r="V411" s="15" t="n"/>
      <c r="W411" s="15" t="n"/>
      <c r="X411" s="20" t="n"/>
      <c r="Y411" s="15" t="n"/>
    </row>
    <row r="412">
      <c r="A412" s="15" t="n">
        <v>411</v>
      </c>
      <c r="B412" s="16">
        <f>INT((A412-1)/7)+1</f>
        <v/>
      </c>
      <c r="C412" s="47">
        <f>'Start Here'!$B$5+A412-1</f>
        <v/>
      </c>
      <c r="D412" s="16">
        <f>TEXT(C412,"ddd")</f>
        <v/>
      </c>
      <c r="E412" s="15" t="inlineStr">
        <is>
          <t>Science Friday</t>
        </is>
      </c>
      <c r="F412" s="24" t="inlineStr">
        <is>
          <t>🚀 Science for Kids</t>
        </is>
      </c>
      <c r="G412" s="15" t="n">
        <v>59</v>
      </c>
      <c r="H412" s="15" t="inlineStr">
        <is>
          <t>What Is a Mountain?</t>
        </is>
      </c>
      <c r="I412" s="15" t="inlineStr">
        <is>
          <t>What Is a Mountain? 🚀 | Science for Kids | Tiny Sparks</t>
        </is>
      </c>
      <c r="J412" s="15" t="inlineStr">
        <is>
          <t>3–5</t>
        </is>
      </c>
      <c r="K412" s="15" t="inlineStr">
        <is>
          <t>Short 9:16</t>
        </is>
      </c>
      <c r="L412" s="15" t="inlineStr">
        <is>
          <t>45–60 s</t>
        </is>
      </c>
      <c r="M412" s="15" t="inlineStr">
        <is>
          <t>Prof. Hoot + Leo (wrong guess) + Mila</t>
        </is>
      </c>
      <c r="N412" s="15" t="inlineStr">
        <is>
          <t>Answer simply: What Is a Mountain?</t>
        </is>
      </c>
      <c r="O412" s="15" t="inlineStr">
        <is>
          <t>Yes</t>
        </is>
      </c>
      <c r="P412" s="15" t="inlineStr">
        <is>
          <t>P3</t>
        </is>
      </c>
      <c r="Q412" s="15" t="inlineStr">
        <is>
          <t>Idea</t>
        </is>
      </c>
      <c r="R412" s="48">
        <f>INDEX('Start Here'!$B$10:$B$16,WEEKDAY(C412,2))</f>
        <v/>
      </c>
      <c r="S412" s="48">
        <f>MOD(R412+'Start Here'!$B$6/24,1)</f>
        <v/>
      </c>
      <c r="T412" s="15" t="n"/>
      <c r="U412" s="15" t="n"/>
      <c r="V412" s="15" t="n"/>
      <c r="W412" s="15" t="n"/>
      <c r="X412" s="20" t="n"/>
      <c r="Y412" s="15" t="n"/>
    </row>
    <row r="413">
      <c r="A413" s="15" t="n">
        <v>412</v>
      </c>
      <c r="B413" s="16">
        <f>INT((A413-1)/7)+1</f>
        <v/>
      </c>
      <c r="C413" s="47">
        <f>'Start Here'!$B$5+A413-1</f>
        <v/>
      </c>
      <c r="D413" s="16">
        <f>TEXT(C413,"ddd")</f>
        <v/>
      </c>
      <c r="E413" s="15" t="inlineStr">
        <is>
          <t>Puzzle Saturday</t>
        </is>
      </c>
      <c r="F413" s="25" t="inlineStr">
        <is>
          <t>🧩 Puzzles &amp; Problem-Solving</t>
        </is>
      </c>
      <c r="G413" s="15" t="n">
        <v>59</v>
      </c>
      <c r="H413" s="15" t="inlineStr">
        <is>
          <t>Number Riddles</t>
        </is>
      </c>
      <c r="I413" s="15" t="inlineStr">
        <is>
          <t>Number Riddles 🧩 | Brain Games for Kids | Tiny Sparks</t>
        </is>
      </c>
      <c r="J413" s="15" t="inlineStr">
        <is>
          <t>6–8</t>
        </is>
      </c>
      <c r="K413" s="15" t="inlineStr">
        <is>
          <t>Short 9:16</t>
        </is>
      </c>
      <c r="L413" s="15" t="inlineStr">
        <is>
          <t>45–60 s</t>
        </is>
      </c>
      <c r="M413" s="15" t="inlineStr">
        <is>
          <t>Prof. Hoot + Leo + score strip</t>
        </is>
      </c>
      <c r="N413" s="15" t="inlineStr">
        <is>
          <t>Thinking skill: reasoning</t>
        </is>
      </c>
      <c r="O413" s="15" t="inlineStr">
        <is>
          <t>Yes</t>
        </is>
      </c>
      <c r="P413" s="15" t="inlineStr">
        <is>
          <t>P3</t>
        </is>
      </c>
      <c r="Q413" s="15" t="inlineStr">
        <is>
          <t>Idea</t>
        </is>
      </c>
      <c r="R413" s="48">
        <f>INDEX('Start Here'!$B$10:$B$16,WEEKDAY(C413,2))</f>
        <v/>
      </c>
      <c r="S413" s="48">
        <f>MOD(R413+'Start Here'!$B$6/24,1)</f>
        <v/>
      </c>
      <c r="T413" s="15" t="n"/>
      <c r="U413" s="15" t="n"/>
      <c r="V413" s="15" t="n"/>
      <c r="W413" s="15" t="n"/>
      <c r="X413" s="20" t="n"/>
      <c r="Y413" s="15" t="n"/>
    </row>
    <row r="414">
      <c r="A414" s="15" t="n">
        <v>413</v>
      </c>
      <c r="B414" s="16">
        <f>INT((A414-1)/7)+1</f>
        <v/>
      </c>
      <c r="C414" s="47">
        <f>'Start Here'!$B$5+A414-1</f>
        <v/>
      </c>
      <c r="D414" s="16">
        <f>TEXT(C414,"ddd")</f>
        <v/>
      </c>
      <c r="E414" s="15" t="inlineStr">
        <is>
          <t>Song Sunday</t>
        </is>
      </c>
      <c r="F414" s="26" t="inlineStr">
        <is>
          <t>🎵 Educational Songs</t>
        </is>
      </c>
      <c r="G414" s="15" t="n">
        <v>59</v>
      </c>
      <c r="H414" s="15" t="inlineStr">
        <is>
          <t>Get Ready for School Song</t>
        </is>
      </c>
      <c r="I414" s="15" t="inlineStr">
        <is>
          <t>Get Ready for School Song 🎵 | Kids Songs | Tiny Sparks</t>
        </is>
      </c>
      <c r="J414" s="15" t="inlineStr">
        <is>
          <t>3–5</t>
        </is>
      </c>
      <c r="K414" s="15" t="inlineStr">
        <is>
          <t>Long 16:9 + Short cut</t>
        </is>
      </c>
      <c r="L414" s="15" t="inlineStr">
        <is>
          <t>2–3 min (Short: 45 s chorus)</t>
        </is>
      </c>
      <c r="M414" s="15" t="inlineStr">
        <is>
          <t>Mila sings, all dance</t>
        </is>
      </c>
      <c r="N414" s="15" t="inlineStr">
        <is>
          <t>Sing &amp; learn: Get Ready for School</t>
        </is>
      </c>
      <c r="O414" s="15" t="inlineStr">
        <is>
          <t>Yes</t>
        </is>
      </c>
      <c r="P414" s="15" t="inlineStr">
        <is>
          <t>P3</t>
        </is>
      </c>
      <c r="Q414" s="15" t="inlineStr">
        <is>
          <t>Idea</t>
        </is>
      </c>
      <c r="R414" s="48">
        <f>INDEX('Start Here'!$B$10:$B$16,WEEKDAY(C414,2))</f>
        <v/>
      </c>
      <c r="S414" s="48">
        <f>MOD(R414+'Start Here'!$B$6/24,1)</f>
        <v/>
      </c>
      <c r="T414" s="15" t="n"/>
      <c r="U414" s="15" t="n"/>
      <c r="V414" s="15" t="n"/>
      <c r="W414" s="15" t="n"/>
      <c r="X414" s="20" t="n"/>
      <c r="Y414" s="15" t="n"/>
    </row>
    <row r="415">
      <c r="A415" s="15" t="n">
        <v>414</v>
      </c>
      <c r="B415" s="16">
        <f>INT((A415-1)/7)+1</f>
        <v/>
      </c>
      <c r="C415" s="47">
        <f>'Start Here'!$B$5+A415-1</f>
        <v/>
      </c>
      <c r="D415" s="16">
        <f>TEXT(C415,"ddd")</f>
        <v/>
      </c>
      <c r="E415" s="15" t="inlineStr">
        <is>
          <t>Story Monday</t>
        </is>
      </c>
      <c r="F415" s="27" t="inlineStr">
        <is>
          <t>📚 Moral Stories</t>
        </is>
      </c>
      <c r="G415" s="15" t="n">
        <v>30</v>
      </c>
      <c r="H415" s="15" t="inlineStr">
        <is>
          <t>The Angry Little Bear</t>
        </is>
      </c>
      <c r="I415" s="15" t="inlineStr">
        <is>
          <t>The Angry Little Bear 📚 | Moral Stories for Kids | Tiny Sparks</t>
        </is>
      </c>
      <c r="J415" s="15" t="inlineStr">
        <is>
          <t>3–5</t>
        </is>
      </c>
      <c r="K415" s="15" t="inlineStr">
        <is>
          <t>Long 16:9 + Short teaser</t>
        </is>
      </c>
      <c r="L415" s="15" t="inlineStr">
        <is>
          <t>3–5 min (Short: 50 s)</t>
        </is>
      </c>
      <c r="M415" s="15" t="inlineStr">
        <is>
          <t>narrator + guest animals / Mila &amp; Leo</t>
        </is>
      </c>
      <c r="N415" s="15" t="inlineStr">
        <is>
          <t>Value: managing anger</t>
        </is>
      </c>
      <c r="O415" s="15" t="inlineStr">
        <is>
          <t>Yes</t>
        </is>
      </c>
      <c r="P415" s="15" t="inlineStr">
        <is>
          <t>P3</t>
        </is>
      </c>
      <c r="Q415" s="15" t="inlineStr">
        <is>
          <t>Idea</t>
        </is>
      </c>
      <c r="R415" s="48">
        <f>INDEX('Start Here'!$B$10:$B$16,WEEKDAY(C415,2))</f>
        <v/>
      </c>
      <c r="S415" s="48">
        <f>MOD(R415+'Start Here'!$B$6/24,1)</f>
        <v/>
      </c>
      <c r="T415" s="15" t="n"/>
      <c r="U415" s="15" t="n"/>
      <c r="V415" s="15" t="n"/>
      <c r="W415" s="15" t="n"/>
      <c r="X415" s="20" t="n"/>
      <c r="Y415" s="15" t="n"/>
    </row>
    <row r="416">
      <c r="A416" s="15" t="n">
        <v>415</v>
      </c>
      <c r="B416" s="16">
        <f>INT((A416-1)/7)+1</f>
        <v/>
      </c>
      <c r="C416" s="47">
        <f>'Start Here'!$B$5+A416-1</f>
        <v/>
      </c>
      <c r="D416" s="16">
        <f>TEXT(C416,"ddd")</f>
        <v/>
      </c>
      <c r="E416" s="15" t="inlineStr">
        <is>
          <t>Math Tuesday</t>
        </is>
      </c>
      <c r="F416" s="21" t="inlineStr">
        <is>
          <t>🔢 Numbers &amp; Math</t>
        </is>
      </c>
      <c r="G416" s="15" t="n">
        <v>60</v>
      </c>
      <c r="H416" s="15" t="inlineStr">
        <is>
          <t>Shape Sorting Challenge</t>
        </is>
      </c>
      <c r="I416" s="15" t="inlineStr">
        <is>
          <t>Shape Sorting Challenge 🔢 | Learn Math for Kids | Tiny Sparks</t>
        </is>
      </c>
      <c r="J416" s="15" t="inlineStr">
        <is>
          <t>3–5</t>
        </is>
      </c>
      <c r="K416" s="15" t="inlineStr">
        <is>
          <t>Long 16:9</t>
        </is>
      </c>
      <c r="L416" s="15" t="inlineStr">
        <is>
          <t>4–8 min</t>
        </is>
      </c>
      <c r="M416" s="15" t="inlineStr">
        <is>
          <t>Bobo + Mila (counting fingers)</t>
        </is>
      </c>
      <c r="N416" s="15" t="inlineStr">
        <is>
          <t>Math: Shape Sorting Challenge</t>
        </is>
      </c>
      <c r="O416" s="15" t="inlineStr">
        <is>
          <t>Yes</t>
        </is>
      </c>
      <c r="P416" s="15" t="inlineStr">
        <is>
          <t>P3</t>
        </is>
      </c>
      <c r="Q416" s="15" t="inlineStr">
        <is>
          <t>Idea</t>
        </is>
      </c>
      <c r="R416" s="48">
        <f>INDEX('Start Here'!$B$10:$B$16,WEEKDAY(C416,2))</f>
        <v/>
      </c>
      <c r="S416" s="48">
        <f>MOD(R416+'Start Here'!$B$6/24,1)</f>
        <v/>
      </c>
      <c r="T416" s="15" t="n"/>
      <c r="U416" s="15" t="n"/>
      <c r="V416" s="15" t="n"/>
      <c r="W416" s="15" t="n"/>
      <c r="X416" s="20" t="n"/>
      <c r="Y416" s="15" t="n"/>
    </row>
    <row r="417">
      <c r="A417" s="15" t="n">
        <v>416</v>
      </c>
      <c r="B417" s="16">
        <f>INT((A417-1)/7)+1</f>
        <v/>
      </c>
      <c r="C417" s="47">
        <f>'Start Here'!$B$5+A417-1</f>
        <v/>
      </c>
      <c r="D417" s="16">
        <f>TEXT(C417,"ddd")</f>
        <v/>
      </c>
      <c r="E417" s="15" t="inlineStr">
        <is>
          <t>Word Wednesday</t>
        </is>
      </c>
      <c r="F417" s="22" t="inlineStr">
        <is>
          <t>🔤 English/French Words</t>
        </is>
      </c>
      <c r="G417" s="15" t="n">
        <v>60</v>
      </c>
      <c r="H417" s="15" t="inlineStr">
        <is>
          <t>Simple Questions for Kids</t>
        </is>
      </c>
      <c r="I417" s="15" t="inlineStr">
        <is>
          <t>Simple Questions for Kids 🔤 | Kids Vocabulary | Tiny Sparks</t>
        </is>
      </c>
      <c r="J417" s="15" t="inlineStr">
        <is>
          <t>6–8</t>
        </is>
      </c>
      <c r="K417" s="15" t="inlineStr">
        <is>
          <t>Short 9:16</t>
        </is>
      </c>
      <c r="L417" s="15" t="inlineStr">
        <is>
          <t>45–60 s</t>
        </is>
      </c>
      <c r="M417" s="15" t="inlineStr">
        <is>
          <t>Mila + French narrator</t>
        </is>
      </c>
      <c r="N417" s="15" t="inlineStr">
        <is>
          <t>Vocabulary EN→FR: Simple Questions for Kids</t>
        </is>
      </c>
      <c r="O417" s="15" t="inlineStr">
        <is>
          <t>Yes</t>
        </is>
      </c>
      <c r="P417" s="15" t="inlineStr">
        <is>
          <t>P3</t>
        </is>
      </c>
      <c r="Q417" s="15" t="inlineStr">
        <is>
          <t>Idea</t>
        </is>
      </c>
      <c r="R417" s="48">
        <f>INDEX('Start Here'!$B$10:$B$16,WEEKDAY(C417,2))</f>
        <v/>
      </c>
      <c r="S417" s="48">
        <f>MOD(R417+'Start Here'!$B$6/24,1)</f>
        <v/>
      </c>
      <c r="T417" s="15" t="n"/>
      <c r="U417" s="15" t="n"/>
      <c r="V417" s="15" t="n"/>
      <c r="W417" s="15" t="n"/>
      <c r="X417" s="20" t="n"/>
      <c r="Y417" s="15" t="n"/>
    </row>
    <row r="418">
      <c r="A418" s="15" t="n">
        <v>417</v>
      </c>
      <c r="B418" s="16">
        <f>INT((A418-1)/7)+1</f>
        <v/>
      </c>
      <c r="C418" s="47">
        <f>'Start Here'!$B$5+A418-1</f>
        <v/>
      </c>
      <c r="D418" s="16">
        <f>TEXT(C418,"ddd")</f>
        <v/>
      </c>
      <c r="E418" s="15" t="inlineStr">
        <is>
          <t>Animal Thursday</t>
        </is>
      </c>
      <c r="F418" s="23" t="inlineStr">
        <is>
          <t>🦁 Animal Stories</t>
        </is>
      </c>
      <c r="G418" s="15" t="n">
        <v>60</v>
      </c>
      <c r="H418" s="15" t="inlineStr">
        <is>
          <t>Animal School: Graduation Day</t>
        </is>
      </c>
      <c r="I418" s="15" t="inlineStr">
        <is>
          <t>Animal School: Graduation Day 🦁 | Animal Stories for Kids | Tiny Sparks</t>
        </is>
      </c>
      <c r="J418" s="15" t="inlineStr">
        <is>
          <t>3–5</t>
        </is>
      </c>
      <c r="K418" s="15" t="inlineStr">
        <is>
          <t>Long 16:9 + Short teaser</t>
        </is>
      </c>
      <c r="L418" s="15" t="inlineStr">
        <is>
          <t>3–5 min (Short: 50 s)</t>
        </is>
      </c>
      <c r="M418" s="15" t="inlineStr">
        <is>
          <t>guest animal(s) + Bobo</t>
        </is>
      </c>
      <c r="N418" s="15" t="inlineStr">
        <is>
          <t>Story + 3 true animal facts; value: friendship</t>
        </is>
      </c>
      <c r="O418" s="15" t="inlineStr">
        <is>
          <t>Yes</t>
        </is>
      </c>
      <c r="P418" s="15" t="inlineStr">
        <is>
          <t>P3</t>
        </is>
      </c>
      <c r="Q418" s="15" t="inlineStr">
        <is>
          <t>Idea</t>
        </is>
      </c>
      <c r="R418" s="48">
        <f>INDEX('Start Here'!$B$10:$B$16,WEEKDAY(C418,2))</f>
        <v/>
      </c>
      <c r="S418" s="48">
        <f>MOD(R418+'Start Here'!$B$6/24,1)</f>
        <v/>
      </c>
      <c r="T418" s="15" t="n"/>
      <c r="U418" s="15" t="n"/>
      <c r="V418" s="15" t="n"/>
      <c r="W418" s="15" t="n"/>
      <c r="X418" s="20" t="n"/>
      <c r="Y418" s="15" t="n"/>
    </row>
    <row r="419">
      <c r="A419" s="15" t="n">
        <v>418</v>
      </c>
      <c r="B419" s="16">
        <f>INT((A419-1)/7)+1</f>
        <v/>
      </c>
      <c r="C419" s="47">
        <f>'Start Here'!$B$5+A419-1</f>
        <v/>
      </c>
      <c r="D419" s="16">
        <f>TEXT(C419,"ddd")</f>
        <v/>
      </c>
      <c r="E419" s="15" t="inlineStr">
        <is>
          <t>Science Friday</t>
        </is>
      </c>
      <c r="F419" s="24" t="inlineStr">
        <is>
          <t>🚀 Science for Kids</t>
        </is>
      </c>
      <c r="G419" s="15" t="n">
        <v>60</v>
      </c>
      <c r="H419" s="15" t="inlineStr">
        <is>
          <t>How Are Caves Formed?</t>
        </is>
      </c>
      <c r="I419" s="15" t="inlineStr">
        <is>
          <t>How Are Caves Formed? 🚀 | Science for Kids | Tiny Sparks</t>
        </is>
      </c>
      <c r="J419" s="15" t="inlineStr">
        <is>
          <t>3–5</t>
        </is>
      </c>
      <c r="K419" s="15" t="inlineStr">
        <is>
          <t>Short 9:16</t>
        </is>
      </c>
      <c r="L419" s="15" t="inlineStr">
        <is>
          <t>45–60 s</t>
        </is>
      </c>
      <c r="M419" s="15" t="inlineStr">
        <is>
          <t>Prof. Hoot + Leo (wrong guess) + Mila</t>
        </is>
      </c>
      <c r="N419" s="15" t="inlineStr">
        <is>
          <t>Answer simply: How Are Caves Formed?</t>
        </is>
      </c>
      <c r="O419" s="15" t="inlineStr">
        <is>
          <t>Yes</t>
        </is>
      </c>
      <c r="P419" s="15" t="inlineStr">
        <is>
          <t>P3</t>
        </is>
      </c>
      <c r="Q419" s="15" t="inlineStr">
        <is>
          <t>Idea</t>
        </is>
      </c>
      <c r="R419" s="48">
        <f>INDEX('Start Here'!$B$10:$B$16,WEEKDAY(C419,2))</f>
        <v/>
      </c>
      <c r="S419" s="48">
        <f>MOD(R419+'Start Here'!$B$6/24,1)</f>
        <v/>
      </c>
      <c r="T419" s="15" t="n"/>
      <c r="U419" s="15" t="n"/>
      <c r="V419" s="15" t="n"/>
      <c r="W419" s="15" t="n"/>
      <c r="X419" s="20" t="n"/>
      <c r="Y419" s="15" t="n"/>
    </row>
    <row r="420">
      <c r="A420" s="15" t="n">
        <v>419</v>
      </c>
      <c r="B420" s="16">
        <f>INT((A420-1)/7)+1</f>
        <v/>
      </c>
      <c r="C420" s="47">
        <f>'Start Here'!$B$5+A420-1</f>
        <v/>
      </c>
      <c r="D420" s="16">
        <f>TEXT(C420,"ddd")</f>
        <v/>
      </c>
      <c r="E420" s="15" t="inlineStr">
        <is>
          <t>Puzzle Saturday</t>
        </is>
      </c>
      <c r="F420" s="25" t="inlineStr">
        <is>
          <t>🧩 Puzzles &amp; Problem-Solving</t>
        </is>
      </c>
      <c r="G420" s="15" t="n">
        <v>60</v>
      </c>
      <c r="H420" s="15" t="inlineStr">
        <is>
          <t>Object Riddles</t>
        </is>
      </c>
      <c r="I420" s="15" t="inlineStr">
        <is>
          <t>Object Riddles 🧩 | Brain Games for Kids | Tiny Sparks</t>
        </is>
      </c>
      <c r="J420" s="15" t="inlineStr">
        <is>
          <t>6–8</t>
        </is>
      </c>
      <c r="K420" s="15" t="inlineStr">
        <is>
          <t>Short 9:16</t>
        </is>
      </c>
      <c r="L420" s="15" t="inlineStr">
        <is>
          <t>45–60 s</t>
        </is>
      </c>
      <c r="M420" s="15" t="inlineStr">
        <is>
          <t>Prof. Hoot + Leo + score strip</t>
        </is>
      </c>
      <c r="N420" s="15" t="inlineStr">
        <is>
          <t>Thinking skill: reasoning</t>
        </is>
      </c>
      <c r="O420" s="15" t="inlineStr">
        <is>
          <t>Yes</t>
        </is>
      </c>
      <c r="P420" s="15" t="inlineStr">
        <is>
          <t>P3</t>
        </is>
      </c>
      <c r="Q420" s="15" t="inlineStr">
        <is>
          <t>Idea</t>
        </is>
      </c>
      <c r="R420" s="48">
        <f>INDEX('Start Here'!$B$10:$B$16,WEEKDAY(C420,2))</f>
        <v/>
      </c>
      <c r="S420" s="48">
        <f>MOD(R420+'Start Here'!$B$6/24,1)</f>
        <v/>
      </c>
      <c r="T420" s="15" t="n"/>
      <c r="U420" s="15" t="n"/>
      <c r="V420" s="15" t="n"/>
      <c r="W420" s="15" t="n"/>
      <c r="X420" s="20" t="n"/>
      <c r="Y420" s="15" t="n"/>
    </row>
    <row r="421">
      <c r="A421" s="15" t="n">
        <v>420</v>
      </c>
      <c r="B421" s="16">
        <f>INT((A421-1)/7)+1</f>
        <v/>
      </c>
      <c r="C421" s="47">
        <f>'Start Here'!$B$5+A421-1</f>
        <v/>
      </c>
      <c r="D421" s="16">
        <f>TEXT(C421,"ddd")</f>
        <v/>
      </c>
      <c r="E421" s="15" t="inlineStr">
        <is>
          <t>Song Sunday</t>
        </is>
      </c>
      <c r="F421" s="26" t="inlineStr">
        <is>
          <t>🎵 Educational Songs</t>
        </is>
      </c>
      <c r="G421" s="15" t="n">
        <v>60</v>
      </c>
      <c r="H421" s="15" t="inlineStr">
        <is>
          <t>Morning Routine Song</t>
        </is>
      </c>
      <c r="I421" s="15" t="inlineStr">
        <is>
          <t>Morning Routine Song 🎵 | Kids Songs | Tiny Sparks</t>
        </is>
      </c>
      <c r="J421" s="15" t="inlineStr">
        <is>
          <t>3–5</t>
        </is>
      </c>
      <c r="K421" s="15" t="inlineStr">
        <is>
          <t>Long 16:9 + Short cut</t>
        </is>
      </c>
      <c r="L421" s="15" t="inlineStr">
        <is>
          <t>2–3 min (Short: 45 s chorus)</t>
        </is>
      </c>
      <c r="M421" s="15" t="inlineStr">
        <is>
          <t>Mila sings, all dance</t>
        </is>
      </c>
      <c r="N421" s="15" t="inlineStr">
        <is>
          <t>Sing &amp; learn: Morning Routine</t>
        </is>
      </c>
      <c r="O421" s="15" t="inlineStr">
        <is>
          <t>Yes</t>
        </is>
      </c>
      <c r="P421" s="15" t="inlineStr">
        <is>
          <t>P3</t>
        </is>
      </c>
      <c r="Q421" s="15" t="inlineStr">
        <is>
          <t>Idea</t>
        </is>
      </c>
      <c r="R421" s="48">
        <f>INDEX('Start Here'!$B$10:$B$16,WEEKDAY(C421,2))</f>
        <v/>
      </c>
      <c r="S421" s="48">
        <f>MOD(R421+'Start Here'!$B$6/24,1)</f>
        <v/>
      </c>
      <c r="T421" s="15" t="n"/>
      <c r="U421" s="15" t="n"/>
      <c r="V421" s="15" t="n"/>
      <c r="W421" s="15" t="n"/>
      <c r="X421" s="20" t="n"/>
      <c r="Y421" s="15" t="n"/>
    </row>
    <row r="422">
      <c r="A422" s="15" t="n">
        <v>421</v>
      </c>
      <c r="B422" s="16">
        <f>INT((A422-1)/7)+1</f>
        <v/>
      </c>
      <c r="C422" s="47">
        <f>'Start Here'!$B$5+A422-1</f>
        <v/>
      </c>
      <c r="D422" s="16">
        <f>TEXT(C422,"ddd")</f>
        <v/>
      </c>
      <c r="E422" s="15" t="inlineStr">
        <is>
          <t>Story Monday</t>
        </is>
      </c>
      <c r="F422" s="18" t="inlineStr">
        <is>
          <t>🧠 Educational Stories</t>
        </is>
      </c>
      <c r="G422" s="15" t="n">
        <v>31</v>
      </c>
      <c r="H422" s="15" t="inlineStr">
        <is>
          <t>The Little Inventor's First Machine</t>
        </is>
      </c>
      <c r="I422" s="15" t="inlineStr">
        <is>
          <t>The Little Inventor's First Machine 🧠 | Kids Stories | Tiny Sparks</t>
        </is>
      </c>
      <c r="J422" s="15" t="inlineStr">
        <is>
          <t>6–8</t>
        </is>
      </c>
      <c r="K422" s="15" t="inlineStr">
        <is>
          <t>Long 16:9 + Short teaser</t>
        </is>
      </c>
      <c r="L422" s="15" t="inlineStr">
        <is>
          <t>3–5 min (Short: 50 s)</t>
        </is>
      </c>
      <c r="M422" s="15" t="inlineStr">
        <is>
          <t>Mila, Leo, Bobo + narrator</t>
        </is>
      </c>
      <c r="N422" s="15" t="inlineStr">
        <is>
          <t>Curiosity + problem solving</t>
        </is>
      </c>
      <c r="O422" s="15" t="inlineStr">
        <is>
          <t>Yes</t>
        </is>
      </c>
      <c r="P422" s="15" t="inlineStr">
        <is>
          <t>P3</t>
        </is>
      </c>
      <c r="Q422" s="15" t="inlineStr">
        <is>
          <t>Idea</t>
        </is>
      </c>
      <c r="R422" s="48">
        <f>INDEX('Start Here'!$B$10:$B$16,WEEKDAY(C422,2))</f>
        <v/>
      </c>
      <c r="S422" s="48">
        <f>MOD(R422+'Start Here'!$B$6/24,1)</f>
        <v/>
      </c>
      <c r="T422" s="15" t="n"/>
      <c r="U422" s="15" t="n"/>
      <c r="V422" s="15" t="n"/>
      <c r="W422" s="15" t="n"/>
      <c r="X422" s="20" t="n"/>
      <c r="Y422" s="15" t="n"/>
    </row>
    <row r="423">
      <c r="A423" s="15" t="n">
        <v>422</v>
      </c>
      <c r="B423" s="16">
        <f>INT((A423-1)/7)+1</f>
        <v/>
      </c>
      <c r="C423" s="47">
        <f>'Start Here'!$B$5+A423-1</f>
        <v/>
      </c>
      <c r="D423" s="16">
        <f>TEXT(C423,"ddd")</f>
        <v/>
      </c>
      <c r="E423" s="15" t="inlineStr">
        <is>
          <t>Math Tuesday</t>
        </is>
      </c>
      <c r="F423" s="21" t="inlineStr">
        <is>
          <t>🔢 Numbers &amp; Math</t>
        </is>
      </c>
      <c r="G423" s="15" t="n">
        <v>61</v>
      </c>
      <c r="H423" s="15" t="inlineStr">
        <is>
          <t>Learn Colors and Shapes</t>
        </is>
      </c>
      <c r="I423" s="15" t="inlineStr">
        <is>
          <t>Learn Colors and Shapes 🔢 | Learn Math for Kids | Tiny Sparks</t>
        </is>
      </c>
      <c r="J423" s="15" t="inlineStr">
        <is>
          <t>3–5</t>
        </is>
      </c>
      <c r="K423" s="15" t="inlineStr">
        <is>
          <t>Short 9:16</t>
        </is>
      </c>
      <c r="L423" s="15" t="inlineStr">
        <is>
          <t>45–60 s</t>
        </is>
      </c>
      <c r="M423" s="15" t="inlineStr">
        <is>
          <t>Bobo + Mila (counting fingers)</t>
        </is>
      </c>
      <c r="N423" s="15" t="inlineStr">
        <is>
          <t>Math: Learn Colors and Shapes</t>
        </is>
      </c>
      <c r="O423" s="15" t="inlineStr">
        <is>
          <t>Yes</t>
        </is>
      </c>
      <c r="P423" s="15" t="inlineStr">
        <is>
          <t>P3</t>
        </is>
      </c>
      <c r="Q423" s="15" t="inlineStr">
        <is>
          <t>Idea</t>
        </is>
      </c>
      <c r="R423" s="48">
        <f>INDEX('Start Here'!$B$10:$B$16,WEEKDAY(C423,2))</f>
        <v/>
      </c>
      <c r="S423" s="48">
        <f>MOD(R423+'Start Here'!$B$6/24,1)</f>
        <v/>
      </c>
      <c r="T423" s="15" t="n"/>
      <c r="U423" s="15" t="n"/>
      <c r="V423" s="15" t="n"/>
      <c r="W423" s="15" t="n"/>
      <c r="X423" s="20" t="n"/>
      <c r="Y423" s="15" t="n"/>
    </row>
    <row r="424">
      <c r="A424" s="15" t="n">
        <v>423</v>
      </c>
      <c r="B424" s="16">
        <f>INT((A424-1)/7)+1</f>
        <v/>
      </c>
      <c r="C424" s="47">
        <f>'Start Here'!$B$5+A424-1</f>
        <v/>
      </c>
      <c r="D424" s="16">
        <f>TEXT(C424,"ddd")</f>
        <v/>
      </c>
      <c r="E424" s="15" t="inlineStr">
        <is>
          <t>Word Wednesday</t>
        </is>
      </c>
      <c r="F424" s="22" t="inlineStr">
        <is>
          <t>🔤 English/French Words</t>
        </is>
      </c>
      <c r="G424" s="15" t="n">
        <v>61</v>
      </c>
      <c r="H424" s="15" t="inlineStr">
        <is>
          <t>English Alphabet A–Z</t>
        </is>
      </c>
      <c r="I424" s="15" t="inlineStr">
        <is>
          <t>English Alphabet A–Z 🔤 | Kids Vocabulary | Tiny Sparks</t>
        </is>
      </c>
      <c r="J424" s="15" t="inlineStr">
        <is>
          <t>3–5</t>
        </is>
      </c>
      <c r="K424" s="15" t="inlineStr">
        <is>
          <t>Long 16:9</t>
        </is>
      </c>
      <c r="L424" s="15" t="inlineStr">
        <is>
          <t>4–8 min</t>
        </is>
      </c>
      <c r="M424" s="15" t="inlineStr">
        <is>
          <t>Mila + French narrator</t>
        </is>
      </c>
      <c r="N424" s="15" t="inlineStr">
        <is>
          <t>Vocabulary EN→FR: English Alphabet A–Z</t>
        </is>
      </c>
      <c r="O424" s="15" t="inlineStr">
        <is>
          <t>Yes</t>
        </is>
      </c>
      <c r="P424" s="15" t="inlineStr">
        <is>
          <t>P3</t>
        </is>
      </c>
      <c r="Q424" s="15" t="inlineStr">
        <is>
          <t>Idea</t>
        </is>
      </c>
      <c r="R424" s="48">
        <f>INDEX('Start Here'!$B$10:$B$16,WEEKDAY(C424,2))</f>
        <v/>
      </c>
      <c r="S424" s="48">
        <f>MOD(R424+'Start Here'!$B$6/24,1)</f>
        <v/>
      </c>
      <c r="T424" s="15" t="n"/>
      <c r="U424" s="15" t="n"/>
      <c r="V424" s="15" t="n"/>
      <c r="W424" s="15" t="n"/>
      <c r="X424" s="20" t="n"/>
      <c r="Y424" s="15" t="n"/>
    </row>
    <row r="425">
      <c r="A425" s="15" t="n">
        <v>424</v>
      </c>
      <c r="B425" s="16">
        <f>INT((A425-1)/7)+1</f>
        <v/>
      </c>
      <c r="C425" s="47">
        <f>'Start Here'!$B$5+A425-1</f>
        <v/>
      </c>
      <c r="D425" s="16">
        <f>TEXT(C425,"ddd")</f>
        <v/>
      </c>
      <c r="E425" s="15" t="inlineStr">
        <is>
          <t>Animal Thursday</t>
        </is>
      </c>
      <c r="F425" s="23" t="inlineStr">
        <is>
          <t>🦁 Animal Stories</t>
        </is>
      </c>
      <c r="G425" s="15" t="n">
        <v>61</v>
      </c>
      <c r="H425" s="15" t="inlineStr">
        <is>
          <t>Jungle Olympics</t>
        </is>
      </c>
      <c r="I425" s="15" t="inlineStr">
        <is>
          <t>Jungle Olympics 🦁 | Animal Stories for Kids | Tiny Sparks</t>
        </is>
      </c>
      <c r="J425" s="15" t="inlineStr">
        <is>
          <t>3–5</t>
        </is>
      </c>
      <c r="K425" s="15" t="inlineStr">
        <is>
          <t>Long 16:9 + Short teaser</t>
        </is>
      </c>
      <c r="L425" s="15" t="inlineStr">
        <is>
          <t>3–5 min (Short: 50 s)</t>
        </is>
      </c>
      <c r="M425" s="15" t="inlineStr">
        <is>
          <t>guest animal(s) + Bobo</t>
        </is>
      </c>
      <c r="N425" s="15" t="inlineStr">
        <is>
          <t>Story + 3 true animal facts; value: friendship</t>
        </is>
      </c>
      <c r="O425" s="15" t="inlineStr">
        <is>
          <t>Build first: jungle</t>
        </is>
      </c>
      <c r="P425" s="15" t="inlineStr">
        <is>
          <t>P3</t>
        </is>
      </c>
      <c r="Q425" s="15" t="inlineStr">
        <is>
          <t>Idea</t>
        </is>
      </c>
      <c r="R425" s="48">
        <f>INDEX('Start Here'!$B$10:$B$16,WEEKDAY(C425,2))</f>
        <v/>
      </c>
      <c r="S425" s="48">
        <f>MOD(R425+'Start Here'!$B$6/24,1)</f>
        <v/>
      </c>
      <c r="T425" s="15" t="n"/>
      <c r="U425" s="15" t="n"/>
      <c r="V425" s="15" t="n"/>
      <c r="W425" s="15" t="n"/>
      <c r="X425" s="20" t="n"/>
      <c r="Y425" s="15" t="n"/>
    </row>
    <row r="426">
      <c r="A426" s="15" t="n">
        <v>425</v>
      </c>
      <c r="B426" s="16">
        <f>INT((A426-1)/7)+1</f>
        <v/>
      </c>
      <c r="C426" s="47">
        <f>'Start Here'!$B$5+A426-1</f>
        <v/>
      </c>
      <c r="D426" s="16">
        <f>TEXT(C426,"ddd")</f>
        <v/>
      </c>
      <c r="E426" s="15" t="inlineStr">
        <is>
          <t>Science Friday</t>
        </is>
      </c>
      <c r="F426" s="24" t="inlineStr">
        <is>
          <t>🚀 Science for Kids</t>
        </is>
      </c>
      <c r="G426" s="15" t="n">
        <v>61</v>
      </c>
      <c r="H426" s="15" t="inlineStr">
        <is>
          <t>What Is Space?</t>
        </is>
      </c>
      <c r="I426" s="15" t="inlineStr">
        <is>
          <t>What Is Space? 🚀 | Science for Kids | Tiny Sparks</t>
        </is>
      </c>
      <c r="J426" s="15" t="inlineStr">
        <is>
          <t>6–8</t>
        </is>
      </c>
      <c r="K426" s="15" t="inlineStr">
        <is>
          <t>Short 9:16</t>
        </is>
      </c>
      <c r="L426" s="15" t="inlineStr">
        <is>
          <t>45–60 s</t>
        </is>
      </c>
      <c r="M426" s="15" t="inlineStr">
        <is>
          <t>Prof. Hoot + Leo (wrong guess) + Mila</t>
        </is>
      </c>
      <c r="N426" s="15" t="inlineStr">
        <is>
          <t>Answer simply: What Is Space?</t>
        </is>
      </c>
      <c r="O426" s="15" t="inlineStr">
        <is>
          <t>Yes</t>
        </is>
      </c>
      <c r="P426" s="15" t="inlineStr">
        <is>
          <t>P3</t>
        </is>
      </c>
      <c r="Q426" s="15" t="inlineStr">
        <is>
          <t>Idea</t>
        </is>
      </c>
      <c r="R426" s="48">
        <f>INDEX('Start Here'!$B$10:$B$16,WEEKDAY(C426,2))</f>
        <v/>
      </c>
      <c r="S426" s="48">
        <f>MOD(R426+'Start Here'!$B$6/24,1)</f>
        <v/>
      </c>
      <c r="T426" s="15" t="n"/>
      <c r="U426" s="15" t="n"/>
      <c r="V426" s="15" t="n"/>
      <c r="W426" s="15" t="n"/>
      <c r="X426" s="20" t="n"/>
      <c r="Y426" s="15" t="n"/>
    </row>
    <row r="427">
      <c r="A427" s="15" t="n">
        <v>426</v>
      </c>
      <c r="B427" s="16">
        <f>INT((A427-1)/7)+1</f>
        <v/>
      </c>
      <c r="C427" s="47">
        <f>'Start Here'!$B$5+A427-1</f>
        <v/>
      </c>
      <c r="D427" s="16">
        <f>TEXT(C427,"ddd")</f>
        <v/>
      </c>
      <c r="E427" s="15" t="inlineStr">
        <is>
          <t>Puzzle Saturday</t>
        </is>
      </c>
      <c r="F427" s="25" t="inlineStr">
        <is>
          <t>🧩 Puzzles &amp; Problem-Solving</t>
        </is>
      </c>
      <c r="G427" s="15" t="n">
        <v>61</v>
      </c>
      <c r="H427" s="15" t="inlineStr">
        <is>
          <t>Memory Challenge</t>
        </is>
      </c>
      <c r="I427" s="15" t="inlineStr">
        <is>
          <t>Memory Challenge 🧩 | Brain Games for Kids | Tiny Sparks</t>
        </is>
      </c>
      <c r="J427" s="15" t="inlineStr">
        <is>
          <t>6–8</t>
        </is>
      </c>
      <c r="K427" s="15" t="inlineStr">
        <is>
          <t>Long 16:9</t>
        </is>
      </c>
      <c r="L427" s="15" t="inlineStr">
        <is>
          <t>4–8 min</t>
        </is>
      </c>
      <c r="M427" s="15" t="inlineStr">
        <is>
          <t>Prof. Hoot + Leo + score strip</t>
        </is>
      </c>
      <c r="N427" s="15" t="inlineStr">
        <is>
          <t>Thinking skill: memory</t>
        </is>
      </c>
      <c r="O427" s="15" t="inlineStr">
        <is>
          <t>Yes</t>
        </is>
      </c>
      <c r="P427" s="15" t="inlineStr">
        <is>
          <t>P3</t>
        </is>
      </c>
      <c r="Q427" s="15" t="inlineStr">
        <is>
          <t>Idea</t>
        </is>
      </c>
      <c r="R427" s="48">
        <f>INDEX('Start Here'!$B$10:$B$16,WEEKDAY(C427,2))</f>
        <v/>
      </c>
      <c r="S427" s="48">
        <f>MOD(R427+'Start Here'!$B$6/24,1)</f>
        <v/>
      </c>
      <c r="T427" s="15" t="n"/>
      <c r="U427" s="15" t="n"/>
      <c r="V427" s="15" t="n"/>
      <c r="W427" s="15" t="n"/>
      <c r="X427" s="20" t="n"/>
      <c r="Y427" s="15" t="n"/>
    </row>
    <row r="428">
      <c r="A428" s="15" t="n">
        <v>427</v>
      </c>
      <c r="B428" s="16">
        <f>INT((A428-1)/7)+1</f>
        <v/>
      </c>
      <c r="C428" s="47">
        <f>'Start Here'!$B$5+A428-1</f>
        <v/>
      </c>
      <c r="D428" s="16">
        <f>TEXT(C428,"ddd")</f>
        <v/>
      </c>
      <c r="E428" s="15" t="inlineStr">
        <is>
          <t>Song Sunday</t>
        </is>
      </c>
      <c r="F428" s="26" t="inlineStr">
        <is>
          <t>🎵 Educational Songs</t>
        </is>
      </c>
      <c r="G428" s="15" t="n">
        <v>61</v>
      </c>
      <c r="H428" s="15" t="inlineStr">
        <is>
          <t>Sun and Moon Song</t>
        </is>
      </c>
      <c r="I428" s="15" t="inlineStr">
        <is>
          <t>Sun and Moon Song 🎵 | Kids Songs | Tiny Sparks</t>
        </is>
      </c>
      <c r="J428" s="15" t="inlineStr">
        <is>
          <t>3–5</t>
        </is>
      </c>
      <c r="K428" s="15" t="inlineStr">
        <is>
          <t>Long 16:9 + Short cut</t>
        </is>
      </c>
      <c r="L428" s="15" t="inlineStr">
        <is>
          <t>2–3 min (Short: 45 s chorus)</t>
        </is>
      </c>
      <c r="M428" s="15" t="inlineStr">
        <is>
          <t>Mila sings, all dance</t>
        </is>
      </c>
      <c r="N428" s="15" t="inlineStr">
        <is>
          <t>Sing &amp; learn: Sun and Moon</t>
        </is>
      </c>
      <c r="O428" s="15" t="inlineStr">
        <is>
          <t>Yes</t>
        </is>
      </c>
      <c r="P428" s="15" t="inlineStr">
        <is>
          <t>P3</t>
        </is>
      </c>
      <c r="Q428" s="15" t="inlineStr">
        <is>
          <t>Idea</t>
        </is>
      </c>
      <c r="R428" s="48">
        <f>INDEX('Start Here'!$B$10:$B$16,WEEKDAY(C428,2))</f>
        <v/>
      </c>
      <c r="S428" s="48">
        <f>MOD(R428+'Start Here'!$B$6/24,1)</f>
        <v/>
      </c>
      <c r="T428" s="15" t="n"/>
      <c r="U428" s="15" t="n"/>
      <c r="V428" s="15" t="n"/>
      <c r="W428" s="15" t="n"/>
      <c r="X428" s="20" t="n"/>
      <c r="Y428" s="15" t="n"/>
    </row>
    <row r="429">
      <c r="A429" s="15" t="n">
        <v>428</v>
      </c>
      <c r="B429" s="16">
        <f>INT((A429-1)/7)+1</f>
        <v/>
      </c>
      <c r="C429" s="47">
        <f>'Start Here'!$B$5+A429-1</f>
        <v/>
      </c>
      <c r="D429" s="16">
        <f>TEXT(C429,"ddd")</f>
        <v/>
      </c>
      <c r="E429" s="15" t="inlineStr">
        <is>
          <t>Story Monday</t>
        </is>
      </c>
      <c r="F429" s="27" t="inlineStr">
        <is>
          <t>📚 Moral Stories</t>
        </is>
      </c>
      <c r="G429" s="15" t="n">
        <v>31</v>
      </c>
      <c r="H429" s="15" t="inlineStr">
        <is>
          <t>The Rabbit Who Was Too Proud</t>
        </is>
      </c>
      <c r="I429" s="15" t="inlineStr">
        <is>
          <t>The Rabbit Who Was Too Proud 📚 | Moral Stories for Kids | Tiny Sparks</t>
        </is>
      </c>
      <c r="J429" s="15" t="inlineStr">
        <is>
          <t>3–5</t>
        </is>
      </c>
      <c r="K429" s="15" t="inlineStr">
        <is>
          <t>Long 16:9 + Short teaser</t>
        </is>
      </c>
      <c r="L429" s="15" t="inlineStr">
        <is>
          <t>3–5 min (Short: 50 s)</t>
        </is>
      </c>
      <c r="M429" s="15" t="inlineStr">
        <is>
          <t>narrator + guest animals / Mila &amp; Leo</t>
        </is>
      </c>
      <c r="N429" s="15" t="inlineStr">
        <is>
          <t>Value: humility</t>
        </is>
      </c>
      <c r="O429" s="15" t="inlineStr">
        <is>
          <t>Yes</t>
        </is>
      </c>
      <c r="P429" s="15" t="inlineStr">
        <is>
          <t>P3</t>
        </is>
      </c>
      <c r="Q429" s="15" t="inlineStr">
        <is>
          <t>Idea</t>
        </is>
      </c>
      <c r="R429" s="48">
        <f>INDEX('Start Here'!$B$10:$B$16,WEEKDAY(C429,2))</f>
        <v/>
      </c>
      <c r="S429" s="48">
        <f>MOD(R429+'Start Here'!$B$6/24,1)</f>
        <v/>
      </c>
      <c r="T429" s="15" t="n"/>
      <c r="U429" s="15" t="n"/>
      <c r="V429" s="15" t="n"/>
      <c r="W429" s="15" t="n"/>
      <c r="X429" s="20" t="n"/>
      <c r="Y429" s="15" t="n"/>
    </row>
    <row r="430">
      <c r="A430" s="15" t="n">
        <v>429</v>
      </c>
      <c r="B430" s="16">
        <f>INT((A430-1)/7)+1</f>
        <v/>
      </c>
      <c r="C430" s="47">
        <f>'Start Here'!$B$5+A430-1</f>
        <v/>
      </c>
      <c r="D430" s="16">
        <f>TEXT(C430,"ddd")</f>
        <v/>
      </c>
      <c r="E430" s="15" t="inlineStr">
        <is>
          <t>Math Tuesday</t>
        </is>
      </c>
      <c r="F430" s="21" t="inlineStr">
        <is>
          <t>🔢 Numbers &amp; Math</t>
        </is>
      </c>
      <c r="G430" s="15" t="n">
        <v>62</v>
      </c>
      <c r="H430" s="15" t="inlineStr">
        <is>
          <t>Big vs Small</t>
        </is>
      </c>
      <c r="I430" s="15" t="inlineStr">
        <is>
          <t>Big vs Small 🔢 | Learn Math for Kids | Tiny Sparks</t>
        </is>
      </c>
      <c r="J430" s="15" t="inlineStr">
        <is>
          <t>3–5</t>
        </is>
      </c>
      <c r="K430" s="15" t="inlineStr">
        <is>
          <t>Short 9:16</t>
        </is>
      </c>
      <c r="L430" s="15" t="inlineStr">
        <is>
          <t>45–60 s</t>
        </is>
      </c>
      <c r="M430" s="15" t="inlineStr">
        <is>
          <t>Bobo + Mila (counting fingers)</t>
        </is>
      </c>
      <c r="N430" s="15" t="inlineStr">
        <is>
          <t>Math: Big vs Small</t>
        </is>
      </c>
      <c r="O430" s="15" t="inlineStr">
        <is>
          <t>Yes</t>
        </is>
      </c>
      <c r="P430" s="15" t="inlineStr">
        <is>
          <t>P3</t>
        </is>
      </c>
      <c r="Q430" s="15" t="inlineStr">
        <is>
          <t>Idea</t>
        </is>
      </c>
      <c r="R430" s="48">
        <f>INDEX('Start Here'!$B$10:$B$16,WEEKDAY(C430,2))</f>
        <v/>
      </c>
      <c r="S430" s="48">
        <f>MOD(R430+'Start Here'!$B$6/24,1)</f>
        <v/>
      </c>
      <c r="T430" s="15" t="n"/>
      <c r="U430" s="15" t="n"/>
      <c r="V430" s="15" t="n"/>
      <c r="W430" s="15" t="n"/>
      <c r="X430" s="20" t="n"/>
      <c r="Y430" s="15" t="n"/>
    </row>
    <row r="431">
      <c r="A431" s="15" t="n">
        <v>430</v>
      </c>
      <c r="B431" s="16">
        <f>INT((A431-1)/7)+1</f>
        <v/>
      </c>
      <c r="C431" s="47">
        <f>'Start Here'!$B$5+A431-1</f>
        <v/>
      </c>
      <c r="D431" s="16">
        <f>TEXT(C431,"ddd")</f>
        <v/>
      </c>
      <c r="E431" s="15" t="inlineStr">
        <is>
          <t>Word Wednesday</t>
        </is>
      </c>
      <c r="F431" s="22" t="inlineStr">
        <is>
          <t>🔤 English/French Words</t>
        </is>
      </c>
      <c r="G431" s="15" t="n">
        <v>62</v>
      </c>
      <c r="H431" s="15" t="inlineStr">
        <is>
          <t>French Alphabet A–Z</t>
        </is>
      </c>
      <c r="I431" s="15" t="inlineStr">
        <is>
          <t>French Alphabet A–Z 🔤 | Kids Vocabulary | Tiny Sparks</t>
        </is>
      </c>
      <c r="J431" s="15" t="inlineStr">
        <is>
          <t>3–5</t>
        </is>
      </c>
      <c r="K431" s="15" t="inlineStr">
        <is>
          <t>Long 16:9</t>
        </is>
      </c>
      <c r="L431" s="15" t="inlineStr">
        <is>
          <t>4–8 min</t>
        </is>
      </c>
      <c r="M431" s="15" t="inlineStr">
        <is>
          <t>Mila + French narrator</t>
        </is>
      </c>
      <c r="N431" s="15" t="inlineStr">
        <is>
          <t>Vocabulary EN→FR: French Alphabet A–Z</t>
        </is>
      </c>
      <c r="O431" s="15" t="inlineStr">
        <is>
          <t>Yes</t>
        </is>
      </c>
      <c r="P431" s="15" t="inlineStr">
        <is>
          <t>P3</t>
        </is>
      </c>
      <c r="Q431" s="15" t="inlineStr">
        <is>
          <t>Idea</t>
        </is>
      </c>
      <c r="R431" s="48">
        <f>INDEX('Start Here'!$B$10:$B$16,WEEKDAY(C431,2))</f>
        <v/>
      </c>
      <c r="S431" s="48">
        <f>MOD(R431+'Start Here'!$B$6/24,1)</f>
        <v/>
      </c>
      <c r="T431" s="15" t="n"/>
      <c r="U431" s="15" t="n"/>
      <c r="V431" s="15" t="n"/>
      <c r="W431" s="15" t="n"/>
      <c r="X431" s="20" t="n"/>
      <c r="Y431" s="15" t="n"/>
    </row>
    <row r="432">
      <c r="A432" s="15" t="n">
        <v>431</v>
      </c>
      <c r="B432" s="16">
        <f>INT((A432-1)/7)+1</f>
        <v/>
      </c>
      <c r="C432" s="47">
        <f>'Start Here'!$B$5+A432-1</f>
        <v/>
      </c>
      <c r="D432" s="16">
        <f>TEXT(C432,"ddd")</f>
        <v/>
      </c>
      <c r="E432" s="15" t="inlineStr">
        <is>
          <t>Animal Thursday</t>
        </is>
      </c>
      <c r="F432" s="23" t="inlineStr">
        <is>
          <t>🦁 Animal Stories</t>
        </is>
      </c>
      <c r="G432" s="15" t="n">
        <v>62</v>
      </c>
      <c r="H432" s="15" t="inlineStr">
        <is>
          <t>Forest Cooking Contest</t>
        </is>
      </c>
      <c r="I432" s="15" t="inlineStr">
        <is>
          <t>Forest Cooking Contest 🦁 | Animal Stories for Kids | Tiny Sparks</t>
        </is>
      </c>
      <c r="J432" s="15" t="inlineStr">
        <is>
          <t>6–8</t>
        </is>
      </c>
      <c r="K432" s="15" t="inlineStr">
        <is>
          <t>Long 16:9 + Short teaser</t>
        </is>
      </c>
      <c r="L432" s="15" t="inlineStr">
        <is>
          <t>3–5 min (Short: 50 s)</t>
        </is>
      </c>
      <c r="M432" s="15" t="inlineStr">
        <is>
          <t>guest animal(s) + Bobo</t>
        </is>
      </c>
      <c r="N432" s="15" t="inlineStr">
        <is>
          <t>Story + 3 true animal facts; value: caring for the planet</t>
        </is>
      </c>
      <c r="O432" s="15" t="inlineStr">
        <is>
          <t>Yes</t>
        </is>
      </c>
      <c r="P432" s="15" t="inlineStr">
        <is>
          <t>P3</t>
        </is>
      </c>
      <c r="Q432" s="15" t="inlineStr">
        <is>
          <t>Idea</t>
        </is>
      </c>
      <c r="R432" s="48">
        <f>INDEX('Start Here'!$B$10:$B$16,WEEKDAY(C432,2))</f>
        <v/>
      </c>
      <c r="S432" s="48">
        <f>MOD(R432+'Start Here'!$B$6/24,1)</f>
        <v/>
      </c>
      <c r="T432" s="15" t="n"/>
      <c r="U432" s="15" t="n"/>
      <c r="V432" s="15" t="n"/>
      <c r="W432" s="15" t="n"/>
      <c r="X432" s="20" t="n"/>
      <c r="Y432" s="15" t="n"/>
    </row>
    <row r="433">
      <c r="A433" s="15" t="n">
        <v>432</v>
      </c>
      <c r="B433" s="16">
        <f>INT((A433-1)/7)+1</f>
        <v/>
      </c>
      <c r="C433" s="47">
        <f>'Start Here'!$B$5+A433-1</f>
        <v/>
      </c>
      <c r="D433" s="16">
        <f>TEXT(C433,"ddd")</f>
        <v/>
      </c>
      <c r="E433" s="15" t="inlineStr">
        <is>
          <t>Science Friday</t>
        </is>
      </c>
      <c r="F433" s="24" t="inlineStr">
        <is>
          <t>🚀 Science for Kids</t>
        </is>
      </c>
      <c r="G433" s="15" t="n">
        <v>62</v>
      </c>
      <c r="H433" s="15" t="inlineStr">
        <is>
          <t>What Is the Solar System?</t>
        </is>
      </c>
      <c r="I433" s="15" t="inlineStr">
        <is>
          <t>What Is the Solar System? 🚀 | Science for Kids | Tiny Sparks</t>
        </is>
      </c>
      <c r="J433" s="15" t="inlineStr">
        <is>
          <t>6–8</t>
        </is>
      </c>
      <c r="K433" s="15" t="inlineStr">
        <is>
          <t>Long 16:9</t>
        </is>
      </c>
      <c r="L433" s="15" t="inlineStr">
        <is>
          <t>4–8 min</t>
        </is>
      </c>
      <c r="M433" s="15" t="inlineStr">
        <is>
          <t>Prof. Hoot + Leo (wrong guess) + Mila</t>
        </is>
      </c>
      <c r="N433" s="15" t="inlineStr">
        <is>
          <t>Answer simply: What Is the Solar System?</t>
        </is>
      </c>
      <c r="O433" s="15" t="inlineStr">
        <is>
          <t>Yes</t>
        </is>
      </c>
      <c r="P433" s="15" t="inlineStr">
        <is>
          <t>P3</t>
        </is>
      </c>
      <c r="Q433" s="15" t="inlineStr">
        <is>
          <t>Idea</t>
        </is>
      </c>
      <c r="R433" s="48">
        <f>INDEX('Start Here'!$B$10:$B$16,WEEKDAY(C433,2))</f>
        <v/>
      </c>
      <c r="S433" s="48">
        <f>MOD(R433+'Start Here'!$B$6/24,1)</f>
        <v/>
      </c>
      <c r="T433" s="15" t="n"/>
      <c r="U433" s="15" t="n"/>
      <c r="V433" s="15" t="n"/>
      <c r="W433" s="15" t="n"/>
      <c r="X433" s="20" t="n"/>
      <c r="Y433" s="15" t="n"/>
    </row>
    <row r="434">
      <c r="A434" s="15" t="n">
        <v>433</v>
      </c>
      <c r="B434" s="16">
        <f>INT((A434-1)/7)+1</f>
        <v/>
      </c>
      <c r="C434" s="47">
        <f>'Start Here'!$B$5+A434-1</f>
        <v/>
      </c>
      <c r="D434" s="16">
        <f>TEXT(C434,"ddd")</f>
        <v/>
      </c>
      <c r="E434" s="15" t="inlineStr">
        <is>
          <t>Puzzle Saturday</t>
        </is>
      </c>
      <c r="F434" s="25" t="inlineStr">
        <is>
          <t>🧩 Puzzles &amp; Problem-Solving</t>
        </is>
      </c>
      <c r="G434" s="15" t="n">
        <v>62</v>
      </c>
      <c r="H434" s="15" t="inlineStr">
        <is>
          <t>Remember the Animals</t>
        </is>
      </c>
      <c r="I434" s="15" t="inlineStr">
        <is>
          <t>Remember the Animals 🧩 | Brain Games for Kids | Tiny Sparks</t>
        </is>
      </c>
      <c r="J434" s="15" t="inlineStr">
        <is>
          <t>3–5</t>
        </is>
      </c>
      <c r="K434" s="15" t="inlineStr">
        <is>
          <t>Short 9:16</t>
        </is>
      </c>
      <c r="L434" s="15" t="inlineStr">
        <is>
          <t>45–60 s</t>
        </is>
      </c>
      <c r="M434" s="15" t="inlineStr">
        <is>
          <t>Prof. Hoot + Leo + score strip</t>
        </is>
      </c>
      <c r="N434" s="15" t="inlineStr">
        <is>
          <t>Thinking skill: memory</t>
        </is>
      </c>
      <c r="O434" s="15" t="inlineStr">
        <is>
          <t>Yes</t>
        </is>
      </c>
      <c r="P434" s="15" t="inlineStr">
        <is>
          <t>P3</t>
        </is>
      </c>
      <c r="Q434" s="15" t="inlineStr">
        <is>
          <t>Idea</t>
        </is>
      </c>
      <c r="R434" s="48">
        <f>INDEX('Start Here'!$B$10:$B$16,WEEKDAY(C434,2))</f>
        <v/>
      </c>
      <c r="S434" s="48">
        <f>MOD(R434+'Start Here'!$B$6/24,1)</f>
        <v/>
      </c>
      <c r="T434" s="15" t="n"/>
      <c r="U434" s="15" t="n"/>
      <c r="V434" s="15" t="n"/>
      <c r="W434" s="15" t="n"/>
      <c r="X434" s="20" t="n"/>
      <c r="Y434" s="15" t="n"/>
    </row>
    <row r="435">
      <c r="A435" s="15" t="n">
        <v>434</v>
      </c>
      <c r="B435" s="16">
        <f>INT((A435-1)/7)+1</f>
        <v/>
      </c>
      <c r="C435" s="47">
        <f>'Start Here'!$B$5+A435-1</f>
        <v/>
      </c>
      <c r="D435" s="16">
        <f>TEXT(C435,"ddd")</f>
        <v/>
      </c>
      <c r="E435" s="15" t="inlineStr">
        <is>
          <t>Song Sunday</t>
        </is>
      </c>
      <c r="F435" s="26" t="inlineStr">
        <is>
          <t>🎵 Educational Songs</t>
        </is>
      </c>
      <c r="G435" s="15" t="n">
        <v>62</v>
      </c>
      <c r="H435" s="15" t="inlineStr">
        <is>
          <t>Solar System Song</t>
        </is>
      </c>
      <c r="I435" s="15" t="inlineStr">
        <is>
          <t>Solar System Song 🎵 | Kids Songs | Tiny Sparks</t>
        </is>
      </c>
      <c r="J435" s="15" t="inlineStr">
        <is>
          <t>6–8</t>
        </is>
      </c>
      <c r="K435" s="15" t="inlineStr">
        <is>
          <t>Long 16:9 + Short cut</t>
        </is>
      </c>
      <c r="L435" s="15" t="inlineStr">
        <is>
          <t>2–3 min (Short: 45 s chorus)</t>
        </is>
      </c>
      <c r="M435" s="15" t="inlineStr">
        <is>
          <t>Mila sings, all dance</t>
        </is>
      </c>
      <c r="N435" s="15" t="inlineStr">
        <is>
          <t>Sing &amp; learn: Solar System</t>
        </is>
      </c>
      <c r="O435" s="15" t="inlineStr">
        <is>
          <t>Yes</t>
        </is>
      </c>
      <c r="P435" s="15" t="inlineStr">
        <is>
          <t>P3</t>
        </is>
      </c>
      <c r="Q435" s="15" t="inlineStr">
        <is>
          <t>Idea</t>
        </is>
      </c>
      <c r="R435" s="48">
        <f>INDEX('Start Here'!$B$10:$B$16,WEEKDAY(C435,2))</f>
        <v/>
      </c>
      <c r="S435" s="48">
        <f>MOD(R435+'Start Here'!$B$6/24,1)</f>
        <v/>
      </c>
      <c r="T435" s="15" t="n"/>
      <c r="U435" s="15" t="n"/>
      <c r="V435" s="15" t="n"/>
      <c r="W435" s="15" t="n"/>
      <c r="X435" s="20" t="n"/>
      <c r="Y435" s="15" t="n"/>
    </row>
    <row r="436">
      <c r="A436" s="15" t="n">
        <v>435</v>
      </c>
      <c r="B436" s="16">
        <f>INT((A436-1)/7)+1</f>
        <v/>
      </c>
      <c r="C436" s="47">
        <f>'Start Here'!$B$5+A436-1</f>
        <v/>
      </c>
      <c r="D436" s="16">
        <f>TEXT(C436,"ddd")</f>
        <v/>
      </c>
      <c r="E436" s="15" t="inlineStr">
        <is>
          <t>Story Monday</t>
        </is>
      </c>
      <c r="F436" s="18" t="inlineStr">
        <is>
          <t>🧠 Educational Stories</t>
        </is>
      </c>
      <c r="G436" s="15" t="n">
        <v>32</v>
      </c>
      <c r="H436" s="15" t="inlineStr">
        <is>
          <t>Mia Discovers the Power of Curiosity</t>
        </is>
      </c>
      <c r="I436" s="15" t="inlineStr">
        <is>
          <t>Mila Discovers the Power of Curiosity 🧠 | Kids Stories | Tiny Sparks</t>
        </is>
      </c>
      <c r="J436" s="15" t="inlineStr">
        <is>
          <t>3–5</t>
        </is>
      </c>
      <c r="K436" s="15" t="inlineStr">
        <is>
          <t>Long 16:9 + Short teaser</t>
        </is>
      </c>
      <c r="L436" s="15" t="inlineStr">
        <is>
          <t>3–5 min (Short: 50 s)</t>
        </is>
      </c>
      <c r="M436" s="15" t="inlineStr">
        <is>
          <t>Mila (lead) · Mila, Leo, Bobo + narrator</t>
        </is>
      </c>
      <c r="N436" s="15" t="inlineStr">
        <is>
          <t>Life skill: Power of Curiosity</t>
        </is>
      </c>
      <c r="O436" s="15" t="inlineStr">
        <is>
          <t>Yes</t>
        </is>
      </c>
      <c r="P436" s="15" t="inlineStr">
        <is>
          <t>P3</t>
        </is>
      </c>
      <c r="Q436" s="15" t="inlineStr">
        <is>
          <t>Idea</t>
        </is>
      </c>
      <c r="R436" s="48">
        <f>INDEX('Start Here'!$B$10:$B$16,WEEKDAY(C436,2))</f>
        <v/>
      </c>
      <c r="S436" s="48">
        <f>MOD(R436+'Start Here'!$B$6/24,1)</f>
        <v/>
      </c>
      <c r="T436" s="15" t="n"/>
      <c r="U436" s="15" t="n"/>
      <c r="V436" s="15" t="n"/>
      <c r="W436" s="15" t="n"/>
      <c r="X436" s="20" t="n"/>
      <c r="Y436" s="15" t="n"/>
    </row>
    <row r="437">
      <c r="A437" s="15" t="n">
        <v>436</v>
      </c>
      <c r="B437" s="16">
        <f>INT((A437-1)/7)+1</f>
        <v/>
      </c>
      <c r="C437" s="47">
        <f>'Start Here'!$B$5+A437-1</f>
        <v/>
      </c>
      <c r="D437" s="16">
        <f>TEXT(C437,"ddd")</f>
        <v/>
      </c>
      <c r="E437" s="15" t="inlineStr">
        <is>
          <t>Math Tuesday</t>
        </is>
      </c>
      <c r="F437" s="21" t="inlineStr">
        <is>
          <t>🔢 Numbers &amp; Math</t>
        </is>
      </c>
      <c r="G437" s="15" t="n">
        <v>63</v>
      </c>
      <c r="H437" s="15" t="inlineStr">
        <is>
          <t>Tall vs Short</t>
        </is>
      </c>
      <c r="I437" s="15" t="inlineStr">
        <is>
          <t>Tall vs Short 🔢 | Learn Math for Kids | Tiny Sparks</t>
        </is>
      </c>
      <c r="J437" s="15" t="inlineStr">
        <is>
          <t>3–5</t>
        </is>
      </c>
      <c r="K437" s="15" t="inlineStr">
        <is>
          <t>Short 9:16</t>
        </is>
      </c>
      <c r="L437" s="15" t="inlineStr">
        <is>
          <t>45–60 s</t>
        </is>
      </c>
      <c r="M437" s="15" t="inlineStr">
        <is>
          <t>Bobo + Mila (counting fingers)</t>
        </is>
      </c>
      <c r="N437" s="15" t="inlineStr">
        <is>
          <t>Math: Tall vs Short</t>
        </is>
      </c>
      <c r="O437" s="15" t="inlineStr">
        <is>
          <t>Yes</t>
        </is>
      </c>
      <c r="P437" s="15" t="inlineStr">
        <is>
          <t>P3</t>
        </is>
      </c>
      <c r="Q437" s="15" t="inlineStr">
        <is>
          <t>Idea</t>
        </is>
      </c>
      <c r="R437" s="48">
        <f>INDEX('Start Here'!$B$10:$B$16,WEEKDAY(C437,2))</f>
        <v/>
      </c>
      <c r="S437" s="48">
        <f>MOD(R437+'Start Here'!$B$6/24,1)</f>
        <v/>
      </c>
      <c r="T437" s="15" t="n"/>
      <c r="U437" s="15" t="n"/>
      <c r="V437" s="15" t="n"/>
      <c r="W437" s="15" t="n"/>
      <c r="X437" s="20" t="n"/>
      <c r="Y437" s="15" t="n"/>
    </row>
    <row r="438">
      <c r="A438" s="15" t="n">
        <v>437</v>
      </c>
      <c r="B438" s="16">
        <f>INT((A438-1)/7)+1</f>
        <v/>
      </c>
      <c r="C438" s="47">
        <f>'Start Here'!$B$5+A438-1</f>
        <v/>
      </c>
      <c r="D438" s="16">
        <f>TEXT(C438,"ddd")</f>
        <v/>
      </c>
      <c r="E438" s="15" t="inlineStr">
        <is>
          <t>Word Wednesday</t>
        </is>
      </c>
      <c r="F438" s="22" t="inlineStr">
        <is>
          <t>🔤 English/French Words</t>
        </is>
      </c>
      <c r="G438" s="15" t="n">
        <v>63</v>
      </c>
      <c r="H438" s="15" t="inlineStr">
        <is>
          <t>A Is for Apple / Pomme</t>
        </is>
      </c>
      <c r="I438" s="15" t="inlineStr">
        <is>
          <t>A Is for Apple / Pomme 🔤 | Kids Vocabulary | Tiny Sparks</t>
        </is>
      </c>
      <c r="J438" s="15" t="inlineStr">
        <is>
          <t>3–5</t>
        </is>
      </c>
      <c r="K438" s="15" t="inlineStr">
        <is>
          <t>Short 9:16</t>
        </is>
      </c>
      <c r="L438" s="15" t="inlineStr">
        <is>
          <t>45–60 s</t>
        </is>
      </c>
      <c r="M438" s="15" t="inlineStr">
        <is>
          <t>Mila + French narrator</t>
        </is>
      </c>
      <c r="N438" s="15" t="inlineStr">
        <is>
          <t>Vocabulary EN→FR: A Is for Apple / Pomme</t>
        </is>
      </c>
      <c r="O438" s="15" t="inlineStr">
        <is>
          <t>Yes</t>
        </is>
      </c>
      <c r="P438" s="15" t="inlineStr">
        <is>
          <t>P3</t>
        </is>
      </c>
      <c r="Q438" s="15" t="inlineStr">
        <is>
          <t>Idea</t>
        </is>
      </c>
      <c r="R438" s="48">
        <f>INDEX('Start Here'!$B$10:$B$16,WEEKDAY(C438,2))</f>
        <v/>
      </c>
      <c r="S438" s="48">
        <f>MOD(R438+'Start Here'!$B$6/24,1)</f>
        <v/>
      </c>
      <c r="T438" s="15" t="n"/>
      <c r="U438" s="15" t="n"/>
      <c r="V438" s="15" t="n"/>
      <c r="W438" s="15" t="n"/>
      <c r="X438" s="20" t="n"/>
      <c r="Y438" s="15" t="n"/>
    </row>
    <row r="439">
      <c r="A439" s="15" t="n">
        <v>438</v>
      </c>
      <c r="B439" s="16">
        <f>INT((A439-1)/7)+1</f>
        <v/>
      </c>
      <c r="C439" s="47">
        <f>'Start Here'!$B$5+A439-1</f>
        <v/>
      </c>
      <c r="D439" s="16">
        <f>TEXT(C439,"ddd")</f>
        <v/>
      </c>
      <c r="E439" s="15" t="inlineStr">
        <is>
          <t>Animal Thursday</t>
        </is>
      </c>
      <c r="F439" s="23" t="inlineStr">
        <is>
          <t>🦁 Animal Stories</t>
        </is>
      </c>
      <c r="G439" s="15" t="n">
        <v>63</v>
      </c>
      <c r="H439" s="15" t="inlineStr">
        <is>
          <t>Animal Soccer Match</t>
        </is>
      </c>
      <c r="I439" s="15" t="inlineStr">
        <is>
          <t>Animal Soccer Match 🦁 | Animal Stories for Kids | Tiny Sparks</t>
        </is>
      </c>
      <c r="J439" s="15" t="inlineStr">
        <is>
          <t>3–5</t>
        </is>
      </c>
      <c r="K439" s="15" t="inlineStr">
        <is>
          <t>Long 16:9 + Short teaser</t>
        </is>
      </c>
      <c r="L439" s="15" t="inlineStr">
        <is>
          <t>3–5 min (Short: 50 s)</t>
        </is>
      </c>
      <c r="M439" s="15" t="inlineStr">
        <is>
          <t>guest animal(s) + Bobo</t>
        </is>
      </c>
      <c r="N439" s="15" t="inlineStr">
        <is>
          <t>Story + 3 true animal facts; value: friendship</t>
        </is>
      </c>
      <c r="O439" s="15" t="inlineStr">
        <is>
          <t>Yes</t>
        </is>
      </c>
      <c r="P439" s="15" t="inlineStr">
        <is>
          <t>P3</t>
        </is>
      </c>
      <c r="Q439" s="15" t="inlineStr">
        <is>
          <t>Idea</t>
        </is>
      </c>
      <c r="R439" s="48">
        <f>INDEX('Start Here'!$B$10:$B$16,WEEKDAY(C439,2))</f>
        <v/>
      </c>
      <c r="S439" s="48">
        <f>MOD(R439+'Start Here'!$B$6/24,1)</f>
        <v/>
      </c>
      <c r="T439" s="15" t="n"/>
      <c r="U439" s="15" t="n"/>
      <c r="V439" s="15" t="n"/>
      <c r="W439" s="15" t="n"/>
      <c r="X439" s="20" t="n"/>
      <c r="Y439" s="15" t="n"/>
    </row>
    <row r="440">
      <c r="A440" s="15" t="n">
        <v>439</v>
      </c>
      <c r="B440" s="16">
        <f>INT((A440-1)/7)+1</f>
        <v/>
      </c>
      <c r="C440" s="47">
        <f>'Start Here'!$B$5+A440-1</f>
        <v/>
      </c>
      <c r="D440" s="16">
        <f>TEXT(C440,"ddd")</f>
        <v/>
      </c>
      <c r="E440" s="15" t="inlineStr">
        <is>
          <t>Science Friday</t>
        </is>
      </c>
      <c r="F440" s="24" t="inlineStr">
        <is>
          <t>🚀 Science for Kids</t>
        </is>
      </c>
      <c r="G440" s="15" t="n">
        <v>63</v>
      </c>
      <c r="H440" s="15" t="inlineStr">
        <is>
          <t>Meet Mercury</t>
        </is>
      </c>
      <c r="I440" s="15" t="inlineStr">
        <is>
          <t>Meet Mercury 🚀 | Science for Kids | Tiny Sparks</t>
        </is>
      </c>
      <c r="J440" s="15" t="inlineStr">
        <is>
          <t>6–8</t>
        </is>
      </c>
      <c r="K440" s="15" t="inlineStr">
        <is>
          <t>Short 9:16</t>
        </is>
      </c>
      <c r="L440" s="15" t="inlineStr">
        <is>
          <t>45–60 s</t>
        </is>
      </c>
      <c r="M440" s="15" t="inlineStr">
        <is>
          <t>Prof. Hoot + Leo (wrong guess) + Mila</t>
        </is>
      </c>
      <c r="N440" s="15" t="inlineStr">
        <is>
          <t>Answer simply: Meet Mercury</t>
        </is>
      </c>
      <c r="O440" s="15" t="inlineStr">
        <is>
          <t>Yes</t>
        </is>
      </c>
      <c r="P440" s="15" t="inlineStr">
        <is>
          <t>P3</t>
        </is>
      </c>
      <c r="Q440" s="15" t="inlineStr">
        <is>
          <t>Idea</t>
        </is>
      </c>
      <c r="R440" s="48">
        <f>INDEX('Start Here'!$B$10:$B$16,WEEKDAY(C440,2))</f>
        <v/>
      </c>
      <c r="S440" s="48">
        <f>MOD(R440+'Start Here'!$B$6/24,1)</f>
        <v/>
      </c>
      <c r="T440" s="15" t="n"/>
      <c r="U440" s="15" t="n"/>
      <c r="V440" s="15" t="n"/>
      <c r="W440" s="15" t="n"/>
      <c r="X440" s="20" t="n"/>
      <c r="Y440" s="15" t="n"/>
    </row>
    <row r="441">
      <c r="A441" s="15" t="n">
        <v>440</v>
      </c>
      <c r="B441" s="16">
        <f>INT((A441-1)/7)+1</f>
        <v/>
      </c>
      <c r="C441" s="47">
        <f>'Start Here'!$B$5+A441-1</f>
        <v/>
      </c>
      <c r="D441" s="16">
        <f>TEXT(C441,"ddd")</f>
        <v/>
      </c>
      <c r="E441" s="15" t="inlineStr">
        <is>
          <t>Puzzle Saturday</t>
        </is>
      </c>
      <c r="F441" s="25" t="inlineStr">
        <is>
          <t>🧩 Puzzles &amp; Problem-Solving</t>
        </is>
      </c>
      <c r="G441" s="15" t="n">
        <v>63</v>
      </c>
      <c r="H441" s="15" t="inlineStr">
        <is>
          <t>Remember the Colors</t>
        </is>
      </c>
      <c r="I441" s="15" t="inlineStr">
        <is>
          <t>Remember the Colors 🧩 | Brain Games for Kids | Tiny Sparks</t>
        </is>
      </c>
      <c r="J441" s="15" t="inlineStr">
        <is>
          <t>3–5</t>
        </is>
      </c>
      <c r="K441" s="15" t="inlineStr">
        <is>
          <t>Short 9:16</t>
        </is>
      </c>
      <c r="L441" s="15" t="inlineStr">
        <is>
          <t>45–60 s</t>
        </is>
      </c>
      <c r="M441" s="15" t="inlineStr">
        <is>
          <t>Prof. Hoot + Leo + score strip</t>
        </is>
      </c>
      <c r="N441" s="15" t="inlineStr">
        <is>
          <t>Thinking skill: memory</t>
        </is>
      </c>
      <c r="O441" s="15" t="inlineStr">
        <is>
          <t>Yes</t>
        </is>
      </c>
      <c r="P441" s="15" t="inlineStr">
        <is>
          <t>P3</t>
        </is>
      </c>
      <c r="Q441" s="15" t="inlineStr">
        <is>
          <t>Idea</t>
        </is>
      </c>
      <c r="R441" s="48">
        <f>INDEX('Start Here'!$B$10:$B$16,WEEKDAY(C441,2))</f>
        <v/>
      </c>
      <c r="S441" s="48">
        <f>MOD(R441+'Start Here'!$B$6/24,1)</f>
        <v/>
      </c>
      <c r="T441" s="15" t="n"/>
      <c r="U441" s="15" t="n"/>
      <c r="V441" s="15" t="n"/>
      <c r="W441" s="15" t="n"/>
      <c r="X441" s="20" t="n"/>
      <c r="Y441" s="15" t="n"/>
    </row>
    <row r="442">
      <c r="A442" s="15" t="n">
        <v>441</v>
      </c>
      <c r="B442" s="16">
        <f>INT((A442-1)/7)+1</f>
        <v/>
      </c>
      <c r="C442" s="47">
        <f>'Start Here'!$B$5+A442-1</f>
        <v/>
      </c>
      <c r="D442" s="16">
        <f>TEXT(C442,"ddd")</f>
        <v/>
      </c>
      <c r="E442" s="15" t="inlineStr">
        <is>
          <t>Song Sunday</t>
        </is>
      </c>
      <c r="F442" s="26" t="inlineStr">
        <is>
          <t>🎵 Educational Songs</t>
        </is>
      </c>
      <c r="G442" s="15" t="n">
        <v>63</v>
      </c>
      <c r="H442" s="15" t="inlineStr">
        <is>
          <t>Planets Song</t>
        </is>
      </c>
      <c r="I442" s="15" t="inlineStr">
        <is>
          <t>Planets Song 🎵 | Kids Songs | Tiny Sparks</t>
        </is>
      </c>
      <c r="J442" s="15" t="inlineStr">
        <is>
          <t>6–8</t>
        </is>
      </c>
      <c r="K442" s="15" t="inlineStr">
        <is>
          <t>Long 16:9 + Short cut</t>
        </is>
      </c>
      <c r="L442" s="15" t="inlineStr">
        <is>
          <t>2–3 min (Short: 45 s chorus)</t>
        </is>
      </c>
      <c r="M442" s="15" t="inlineStr">
        <is>
          <t>Mila sings, all dance</t>
        </is>
      </c>
      <c r="N442" s="15" t="inlineStr">
        <is>
          <t>Sing &amp; learn: Planets</t>
        </is>
      </c>
      <c r="O442" s="15" t="inlineStr">
        <is>
          <t>Yes</t>
        </is>
      </c>
      <c r="P442" s="15" t="inlineStr">
        <is>
          <t>P3</t>
        </is>
      </c>
      <c r="Q442" s="15" t="inlineStr">
        <is>
          <t>Idea</t>
        </is>
      </c>
      <c r="R442" s="48">
        <f>INDEX('Start Here'!$B$10:$B$16,WEEKDAY(C442,2))</f>
        <v/>
      </c>
      <c r="S442" s="48">
        <f>MOD(R442+'Start Here'!$B$6/24,1)</f>
        <v/>
      </c>
      <c r="T442" s="15" t="n"/>
      <c r="U442" s="15" t="n"/>
      <c r="V442" s="15" t="n"/>
      <c r="W442" s="15" t="n"/>
      <c r="X442" s="20" t="n"/>
      <c r="Y442" s="15" t="n"/>
    </row>
    <row r="443">
      <c r="A443" s="15" t="n">
        <v>442</v>
      </c>
      <c r="B443" s="16">
        <f>INT((A443-1)/7)+1</f>
        <v/>
      </c>
      <c r="C443" s="47">
        <f>'Start Here'!$B$5+A443-1</f>
        <v/>
      </c>
      <c r="D443" s="16">
        <f>TEXT(C443,"ddd")</f>
        <v/>
      </c>
      <c r="E443" s="15" t="inlineStr">
        <is>
          <t>Story Monday</t>
        </is>
      </c>
      <c r="F443" s="27" t="inlineStr">
        <is>
          <t>📚 Moral Stories</t>
        </is>
      </c>
      <c r="G443" s="15" t="n">
        <v>32</v>
      </c>
      <c r="H443" s="15" t="inlineStr">
        <is>
          <t>The Fox Who Thought He Was the Best</t>
        </is>
      </c>
      <c r="I443" s="15" t="inlineStr">
        <is>
          <t>The Fox Who Thought He Was the Best 📚 | Moral Stories for Kids | Tiny Sparks</t>
        </is>
      </c>
      <c r="J443" s="15" t="inlineStr">
        <is>
          <t>3–5</t>
        </is>
      </c>
      <c r="K443" s="15" t="inlineStr">
        <is>
          <t>Long 16:9 + Short teaser</t>
        </is>
      </c>
      <c r="L443" s="15" t="inlineStr">
        <is>
          <t>3–5 min (Short: 50 s)</t>
        </is>
      </c>
      <c r="M443" s="15" t="inlineStr">
        <is>
          <t>narrator + guest animals / Mila &amp; Leo</t>
        </is>
      </c>
      <c r="N443" s="15" t="inlineStr">
        <is>
          <t>Value: humility</t>
        </is>
      </c>
      <c r="O443" s="15" t="inlineStr">
        <is>
          <t>Yes</t>
        </is>
      </c>
      <c r="P443" s="15" t="inlineStr">
        <is>
          <t>P3</t>
        </is>
      </c>
      <c r="Q443" s="15" t="inlineStr">
        <is>
          <t>Idea</t>
        </is>
      </c>
      <c r="R443" s="48">
        <f>INDEX('Start Here'!$B$10:$B$16,WEEKDAY(C443,2))</f>
        <v/>
      </c>
      <c r="S443" s="48">
        <f>MOD(R443+'Start Here'!$B$6/24,1)</f>
        <v/>
      </c>
      <c r="T443" s="15" t="n"/>
      <c r="U443" s="15" t="n"/>
      <c r="V443" s="15" t="n"/>
      <c r="W443" s="15" t="n"/>
      <c r="X443" s="20" t="n"/>
      <c r="Y443" s="15" t="n"/>
    </row>
    <row r="444">
      <c r="A444" s="15" t="n">
        <v>443</v>
      </c>
      <c r="B444" s="16">
        <f>INT((A444-1)/7)+1</f>
        <v/>
      </c>
      <c r="C444" s="47">
        <f>'Start Here'!$B$5+A444-1</f>
        <v/>
      </c>
      <c r="D444" s="16">
        <f>TEXT(C444,"ddd")</f>
        <v/>
      </c>
      <c r="E444" s="15" t="inlineStr">
        <is>
          <t>Math Tuesday</t>
        </is>
      </c>
      <c r="F444" s="21" t="inlineStr">
        <is>
          <t>🔢 Numbers &amp; Math</t>
        </is>
      </c>
      <c r="G444" s="15" t="n">
        <v>64</v>
      </c>
      <c r="H444" s="15" t="inlineStr">
        <is>
          <t>Long vs Short</t>
        </is>
      </c>
      <c r="I444" s="15" t="inlineStr">
        <is>
          <t>Long vs Short 🔢 | Learn Math for Kids | Tiny Sparks</t>
        </is>
      </c>
      <c r="J444" s="15" t="inlineStr">
        <is>
          <t>3–5</t>
        </is>
      </c>
      <c r="K444" s="15" t="inlineStr">
        <is>
          <t>Short 9:16</t>
        </is>
      </c>
      <c r="L444" s="15" t="inlineStr">
        <is>
          <t>45–60 s</t>
        </is>
      </c>
      <c r="M444" s="15" t="inlineStr">
        <is>
          <t>Bobo + Mila (counting fingers)</t>
        </is>
      </c>
      <c r="N444" s="15" t="inlineStr">
        <is>
          <t>Math: Long vs Short</t>
        </is>
      </c>
      <c r="O444" s="15" t="inlineStr">
        <is>
          <t>Yes</t>
        </is>
      </c>
      <c r="P444" s="15" t="inlineStr">
        <is>
          <t>P3</t>
        </is>
      </c>
      <c r="Q444" s="15" t="inlineStr">
        <is>
          <t>Idea</t>
        </is>
      </c>
      <c r="R444" s="48">
        <f>INDEX('Start Here'!$B$10:$B$16,WEEKDAY(C444,2))</f>
        <v/>
      </c>
      <c r="S444" s="48">
        <f>MOD(R444+'Start Here'!$B$6/24,1)</f>
        <v/>
      </c>
      <c r="T444" s="15" t="n"/>
      <c r="U444" s="15" t="n"/>
      <c r="V444" s="15" t="n"/>
      <c r="W444" s="15" t="n"/>
      <c r="X444" s="20" t="n"/>
      <c r="Y444" s="15" t="n"/>
    </row>
    <row r="445">
      <c r="A445" s="15" t="n">
        <v>444</v>
      </c>
      <c r="B445" s="16">
        <f>INT((A445-1)/7)+1</f>
        <v/>
      </c>
      <c r="C445" s="47">
        <f>'Start Here'!$B$5+A445-1</f>
        <v/>
      </c>
      <c r="D445" s="16">
        <f>TEXT(C445,"ddd")</f>
        <v/>
      </c>
      <c r="E445" s="15" t="inlineStr">
        <is>
          <t>Word Wednesday</t>
        </is>
      </c>
      <c r="F445" s="22" t="inlineStr">
        <is>
          <t>🔤 English/French Words</t>
        </is>
      </c>
      <c r="G445" s="15" t="n">
        <v>64</v>
      </c>
      <c r="H445" s="15" t="inlineStr">
        <is>
          <t>B Is for Ball / Balle</t>
        </is>
      </c>
      <c r="I445" s="15" t="inlineStr">
        <is>
          <t>B Is for Ball / Balle 🔤 | Kids Vocabulary | Tiny Sparks</t>
        </is>
      </c>
      <c r="J445" s="15" t="inlineStr">
        <is>
          <t>3–5</t>
        </is>
      </c>
      <c r="K445" s="15" t="inlineStr">
        <is>
          <t>Short 9:16</t>
        </is>
      </c>
      <c r="L445" s="15" t="inlineStr">
        <is>
          <t>45–60 s</t>
        </is>
      </c>
      <c r="M445" s="15" t="inlineStr">
        <is>
          <t>Mila + French narrator</t>
        </is>
      </c>
      <c r="N445" s="15" t="inlineStr">
        <is>
          <t>Vocabulary EN→FR: B Is for Ball / Balle</t>
        </is>
      </c>
      <c r="O445" s="15" t="inlineStr">
        <is>
          <t>Yes</t>
        </is>
      </c>
      <c r="P445" s="15" t="inlineStr">
        <is>
          <t>P3</t>
        </is>
      </c>
      <c r="Q445" s="15" t="inlineStr">
        <is>
          <t>Idea</t>
        </is>
      </c>
      <c r="R445" s="48">
        <f>INDEX('Start Here'!$B$10:$B$16,WEEKDAY(C445,2))</f>
        <v/>
      </c>
      <c r="S445" s="48">
        <f>MOD(R445+'Start Here'!$B$6/24,1)</f>
        <v/>
      </c>
      <c r="T445" s="15" t="n"/>
      <c r="U445" s="15" t="n"/>
      <c r="V445" s="15" t="n"/>
      <c r="W445" s="15" t="n"/>
      <c r="X445" s="20" t="n"/>
      <c r="Y445" s="15" t="n"/>
    </row>
    <row r="446">
      <c r="A446" s="15" t="n">
        <v>445</v>
      </c>
      <c r="B446" s="16">
        <f>INT((A446-1)/7)+1</f>
        <v/>
      </c>
      <c r="C446" s="47">
        <f>'Start Here'!$B$5+A446-1</f>
        <v/>
      </c>
      <c r="D446" s="16">
        <f>TEXT(C446,"ddd")</f>
        <v/>
      </c>
      <c r="E446" s="15" t="inlineStr">
        <is>
          <t>Animal Thursday</t>
        </is>
      </c>
      <c r="F446" s="23" t="inlineStr">
        <is>
          <t>🦁 Animal Stories</t>
        </is>
      </c>
      <c r="G446" s="15" t="n">
        <v>64</v>
      </c>
      <c r="H446" s="15" t="inlineStr">
        <is>
          <t>Animal Treasure Hunt</t>
        </is>
      </c>
      <c r="I446" s="15" t="inlineStr">
        <is>
          <t>Animal Treasure Hunt 🦁 | Animal Stories for Kids | Tiny Sparks</t>
        </is>
      </c>
      <c r="J446" s="15" t="inlineStr">
        <is>
          <t>3–5</t>
        </is>
      </c>
      <c r="K446" s="15" t="inlineStr">
        <is>
          <t>Long 16:9 + Short teaser</t>
        </is>
      </c>
      <c r="L446" s="15" t="inlineStr">
        <is>
          <t>3–5 min (Short: 50 s)</t>
        </is>
      </c>
      <c r="M446" s="15" t="inlineStr">
        <is>
          <t>guest animal(s) + Bobo</t>
        </is>
      </c>
      <c r="N446" s="15" t="inlineStr">
        <is>
          <t>Story + 3 true animal facts; value: what really matters</t>
        </is>
      </c>
      <c r="O446" s="15" t="inlineStr">
        <is>
          <t>Yes</t>
        </is>
      </c>
      <c r="P446" s="15" t="inlineStr">
        <is>
          <t>P3</t>
        </is>
      </c>
      <c r="Q446" s="15" t="inlineStr">
        <is>
          <t>Idea</t>
        </is>
      </c>
      <c r="R446" s="48">
        <f>INDEX('Start Here'!$B$10:$B$16,WEEKDAY(C446,2))</f>
        <v/>
      </c>
      <c r="S446" s="48">
        <f>MOD(R446+'Start Here'!$B$6/24,1)</f>
        <v/>
      </c>
      <c r="T446" s="15" t="n"/>
      <c r="U446" s="15" t="n"/>
      <c r="V446" s="15" t="n"/>
      <c r="W446" s="15" t="n"/>
      <c r="X446" s="20" t="n"/>
      <c r="Y446" s="15" t="n"/>
    </row>
    <row r="447">
      <c r="A447" s="15" t="n">
        <v>446</v>
      </c>
      <c r="B447" s="16">
        <f>INT((A447-1)/7)+1</f>
        <v/>
      </c>
      <c r="C447" s="47">
        <f>'Start Here'!$B$5+A447-1</f>
        <v/>
      </c>
      <c r="D447" s="16">
        <f>TEXT(C447,"ddd")</f>
        <v/>
      </c>
      <c r="E447" s="15" t="inlineStr">
        <is>
          <t>Science Friday</t>
        </is>
      </c>
      <c r="F447" s="24" t="inlineStr">
        <is>
          <t>🚀 Science for Kids</t>
        </is>
      </c>
      <c r="G447" s="15" t="n">
        <v>64</v>
      </c>
      <c r="H447" s="15" t="inlineStr">
        <is>
          <t>Meet Venus</t>
        </is>
      </c>
      <c r="I447" s="15" t="inlineStr">
        <is>
          <t>Meet Venus 🚀 | Science for Kids | Tiny Sparks</t>
        </is>
      </c>
      <c r="J447" s="15" t="inlineStr">
        <is>
          <t>6–8</t>
        </is>
      </c>
      <c r="K447" s="15" t="inlineStr">
        <is>
          <t>Short 9:16</t>
        </is>
      </c>
      <c r="L447" s="15" t="inlineStr">
        <is>
          <t>45–60 s</t>
        </is>
      </c>
      <c r="M447" s="15" t="inlineStr">
        <is>
          <t>Prof. Hoot + Leo (wrong guess) + Mila</t>
        </is>
      </c>
      <c r="N447" s="15" t="inlineStr">
        <is>
          <t>Answer simply: Meet Venus</t>
        </is>
      </c>
      <c r="O447" s="15" t="inlineStr">
        <is>
          <t>Yes</t>
        </is>
      </c>
      <c r="P447" s="15" t="inlineStr">
        <is>
          <t>P3</t>
        </is>
      </c>
      <c r="Q447" s="15" t="inlineStr">
        <is>
          <t>Idea</t>
        </is>
      </c>
      <c r="R447" s="48">
        <f>INDEX('Start Here'!$B$10:$B$16,WEEKDAY(C447,2))</f>
        <v/>
      </c>
      <c r="S447" s="48">
        <f>MOD(R447+'Start Here'!$B$6/24,1)</f>
        <v/>
      </c>
      <c r="T447" s="15" t="n"/>
      <c r="U447" s="15" t="n"/>
      <c r="V447" s="15" t="n"/>
      <c r="W447" s="15" t="n"/>
      <c r="X447" s="20" t="n"/>
      <c r="Y447" s="15" t="n"/>
    </row>
    <row r="448">
      <c r="A448" s="15" t="n">
        <v>447</v>
      </c>
      <c r="B448" s="16">
        <f>INT((A448-1)/7)+1</f>
        <v/>
      </c>
      <c r="C448" s="47">
        <f>'Start Here'!$B$5+A448-1</f>
        <v/>
      </c>
      <c r="D448" s="16">
        <f>TEXT(C448,"ddd")</f>
        <v/>
      </c>
      <c r="E448" s="15" t="inlineStr">
        <is>
          <t>Puzzle Saturday</t>
        </is>
      </c>
      <c r="F448" s="25" t="inlineStr">
        <is>
          <t>🧩 Puzzles &amp; Problem-Solving</t>
        </is>
      </c>
      <c r="G448" s="15" t="n">
        <v>64</v>
      </c>
      <c r="H448" s="15" t="inlineStr">
        <is>
          <t>Remember the Numbers</t>
        </is>
      </c>
      <c r="I448" s="15" t="inlineStr">
        <is>
          <t>Remember the Numbers 🧩 | Brain Games for Kids | Tiny Sparks</t>
        </is>
      </c>
      <c r="J448" s="15" t="inlineStr">
        <is>
          <t>3–5</t>
        </is>
      </c>
      <c r="K448" s="15" t="inlineStr">
        <is>
          <t>Short 9:16</t>
        </is>
      </c>
      <c r="L448" s="15" t="inlineStr">
        <is>
          <t>45–60 s</t>
        </is>
      </c>
      <c r="M448" s="15" t="inlineStr">
        <is>
          <t>Prof. Hoot + Leo + score strip</t>
        </is>
      </c>
      <c r="N448" s="15" t="inlineStr">
        <is>
          <t>Thinking skill: memory</t>
        </is>
      </c>
      <c r="O448" s="15" t="inlineStr">
        <is>
          <t>Yes</t>
        </is>
      </c>
      <c r="P448" s="15" t="inlineStr">
        <is>
          <t>P3</t>
        </is>
      </c>
      <c r="Q448" s="15" t="inlineStr">
        <is>
          <t>Idea</t>
        </is>
      </c>
      <c r="R448" s="48">
        <f>INDEX('Start Here'!$B$10:$B$16,WEEKDAY(C448,2))</f>
        <v/>
      </c>
      <c r="S448" s="48">
        <f>MOD(R448+'Start Here'!$B$6/24,1)</f>
        <v/>
      </c>
      <c r="T448" s="15" t="n"/>
      <c r="U448" s="15" t="n"/>
      <c r="V448" s="15" t="n"/>
      <c r="W448" s="15" t="n"/>
      <c r="X448" s="20" t="n"/>
      <c r="Y448" s="15" t="n"/>
    </row>
    <row r="449">
      <c r="A449" s="15" t="n">
        <v>448</v>
      </c>
      <c r="B449" s="16">
        <f>INT((A449-1)/7)+1</f>
        <v/>
      </c>
      <c r="C449" s="47">
        <f>'Start Here'!$B$5+A449-1</f>
        <v/>
      </c>
      <c r="D449" s="16">
        <f>TEXT(C449,"ddd")</f>
        <v/>
      </c>
      <c r="E449" s="15" t="inlineStr">
        <is>
          <t>Song Sunday</t>
        </is>
      </c>
      <c r="F449" s="26" t="inlineStr">
        <is>
          <t>🎵 Educational Songs</t>
        </is>
      </c>
      <c r="G449" s="15" t="n">
        <v>64</v>
      </c>
      <c r="H449" s="15" t="inlineStr">
        <is>
          <t>Space Adventure Song</t>
        </is>
      </c>
      <c r="I449" s="15" t="inlineStr">
        <is>
          <t>Space Adventure Song 🎵 | Kids Songs | Tiny Sparks</t>
        </is>
      </c>
      <c r="J449" s="15" t="inlineStr">
        <is>
          <t>6–8</t>
        </is>
      </c>
      <c r="K449" s="15" t="inlineStr">
        <is>
          <t>Long 16:9 + Short cut</t>
        </is>
      </c>
      <c r="L449" s="15" t="inlineStr">
        <is>
          <t>2–3 min (Short: 45 s chorus)</t>
        </is>
      </c>
      <c r="M449" s="15" t="inlineStr">
        <is>
          <t>Mila sings, all dance</t>
        </is>
      </c>
      <c r="N449" s="15" t="inlineStr">
        <is>
          <t>Sing &amp; learn: Space Adventure</t>
        </is>
      </c>
      <c r="O449" s="15" t="inlineStr">
        <is>
          <t>Yes</t>
        </is>
      </c>
      <c r="P449" s="15" t="inlineStr">
        <is>
          <t>P3</t>
        </is>
      </c>
      <c r="Q449" s="15" t="inlineStr">
        <is>
          <t>Idea</t>
        </is>
      </c>
      <c r="R449" s="48">
        <f>INDEX('Start Here'!$B$10:$B$16,WEEKDAY(C449,2))</f>
        <v/>
      </c>
      <c r="S449" s="48">
        <f>MOD(R449+'Start Here'!$B$6/24,1)</f>
        <v/>
      </c>
      <c r="T449" s="15" t="n"/>
      <c r="U449" s="15" t="n"/>
      <c r="V449" s="15" t="n"/>
      <c r="W449" s="15" t="n"/>
      <c r="X449" s="20" t="n"/>
      <c r="Y449" s="15" t="n"/>
    </row>
    <row r="450">
      <c r="A450" s="15" t="n">
        <v>449</v>
      </c>
      <c r="B450" s="16">
        <f>INT((A450-1)/7)+1</f>
        <v/>
      </c>
      <c r="C450" s="47">
        <f>'Start Here'!$B$5+A450-1</f>
        <v/>
      </c>
      <c r="D450" s="16">
        <f>TEXT(C450,"ddd")</f>
        <v/>
      </c>
      <c r="E450" s="15" t="inlineStr">
        <is>
          <t>Story Monday</t>
        </is>
      </c>
      <c r="F450" s="18" t="inlineStr">
        <is>
          <t>🧠 Educational Stories</t>
        </is>
      </c>
      <c r="G450" s="15" t="n">
        <v>33</v>
      </c>
      <c r="H450" s="15" t="inlineStr">
        <is>
          <t>Tommy Learns From His Mistake</t>
        </is>
      </c>
      <c r="I450" s="15" t="inlineStr">
        <is>
          <t>Leo Learns From His Mistake 🧠 | Kids Stories | Tiny Sparks</t>
        </is>
      </c>
      <c r="J450" s="15" t="inlineStr">
        <is>
          <t>3–5</t>
        </is>
      </c>
      <c r="K450" s="15" t="inlineStr">
        <is>
          <t>Long 16:9 + Short teaser</t>
        </is>
      </c>
      <c r="L450" s="15" t="inlineStr">
        <is>
          <t>3–5 min (Short: 50 s)</t>
        </is>
      </c>
      <c r="M450" s="15" t="inlineStr">
        <is>
          <t>Leo (lead) · Mila, Leo, Bobo + narrator</t>
        </is>
      </c>
      <c r="N450" s="15" t="inlineStr">
        <is>
          <t>Life skill: His Mistake</t>
        </is>
      </c>
      <c r="O450" s="15" t="inlineStr">
        <is>
          <t>Yes</t>
        </is>
      </c>
      <c r="P450" s="15" t="inlineStr">
        <is>
          <t>P3</t>
        </is>
      </c>
      <c r="Q450" s="15" t="inlineStr">
        <is>
          <t>Idea</t>
        </is>
      </c>
      <c r="R450" s="48">
        <f>INDEX('Start Here'!$B$10:$B$16,WEEKDAY(C450,2))</f>
        <v/>
      </c>
      <c r="S450" s="48">
        <f>MOD(R450+'Start Here'!$B$6/24,1)</f>
        <v/>
      </c>
      <c r="T450" s="15" t="n"/>
      <c r="U450" s="15" t="n"/>
      <c r="V450" s="15" t="n"/>
      <c r="W450" s="15" t="n"/>
      <c r="X450" s="20" t="n"/>
      <c r="Y450" s="15" t="n"/>
    </row>
    <row r="451">
      <c r="A451" s="15" t="n">
        <v>450</v>
      </c>
      <c r="B451" s="16">
        <f>INT((A451-1)/7)+1</f>
        <v/>
      </c>
      <c r="C451" s="47">
        <f>'Start Here'!$B$5+A451-1</f>
        <v/>
      </c>
      <c r="D451" s="16">
        <f>TEXT(C451,"ddd")</f>
        <v/>
      </c>
      <c r="E451" s="15" t="inlineStr">
        <is>
          <t>Math Tuesday</t>
        </is>
      </c>
      <c r="F451" s="21" t="inlineStr">
        <is>
          <t>🔢 Numbers &amp; Math</t>
        </is>
      </c>
      <c r="G451" s="15" t="n">
        <v>65</v>
      </c>
      <c r="H451" s="15" t="inlineStr">
        <is>
          <t>Heavy vs Light</t>
        </is>
      </c>
      <c r="I451" s="15" t="inlineStr">
        <is>
          <t>Heavy vs Light 🔢 | Learn Math for Kids | Tiny Sparks</t>
        </is>
      </c>
      <c r="J451" s="15" t="inlineStr">
        <is>
          <t>3–5</t>
        </is>
      </c>
      <c r="K451" s="15" t="inlineStr">
        <is>
          <t>Short 9:16</t>
        </is>
      </c>
      <c r="L451" s="15" t="inlineStr">
        <is>
          <t>45–60 s</t>
        </is>
      </c>
      <c r="M451" s="15" t="inlineStr">
        <is>
          <t>Bobo + Mila (counting fingers)</t>
        </is>
      </c>
      <c r="N451" s="15" t="inlineStr">
        <is>
          <t>Math: Heavy vs Light</t>
        </is>
      </c>
      <c r="O451" s="15" t="inlineStr">
        <is>
          <t>Yes</t>
        </is>
      </c>
      <c r="P451" s="15" t="inlineStr">
        <is>
          <t>P3</t>
        </is>
      </c>
      <c r="Q451" s="15" t="inlineStr">
        <is>
          <t>Idea</t>
        </is>
      </c>
      <c r="R451" s="48">
        <f>INDEX('Start Here'!$B$10:$B$16,WEEKDAY(C451,2))</f>
        <v/>
      </c>
      <c r="S451" s="48">
        <f>MOD(R451+'Start Here'!$B$6/24,1)</f>
        <v/>
      </c>
      <c r="T451" s="15" t="n"/>
      <c r="U451" s="15" t="n"/>
      <c r="V451" s="15" t="n"/>
      <c r="W451" s="15" t="n"/>
      <c r="X451" s="20" t="n"/>
      <c r="Y451" s="15" t="n"/>
    </row>
    <row r="452">
      <c r="A452" s="15" t="n">
        <v>451</v>
      </c>
      <c r="B452" s="16">
        <f>INT((A452-1)/7)+1</f>
        <v/>
      </c>
      <c r="C452" s="47">
        <f>'Start Here'!$B$5+A452-1</f>
        <v/>
      </c>
      <c r="D452" s="16">
        <f>TEXT(C452,"ddd")</f>
        <v/>
      </c>
      <c r="E452" s="15" t="inlineStr">
        <is>
          <t>Word Wednesday</t>
        </is>
      </c>
      <c r="F452" s="22" t="inlineStr">
        <is>
          <t>🔤 English/French Words</t>
        </is>
      </c>
      <c r="G452" s="15" t="n">
        <v>65</v>
      </c>
      <c r="H452" s="15" t="inlineStr">
        <is>
          <t>C Is for Cat / Chat</t>
        </is>
      </c>
      <c r="I452" s="15" t="inlineStr">
        <is>
          <t>C Is for Cat / Chat 🔤 | Kids Vocabulary | Tiny Sparks</t>
        </is>
      </c>
      <c r="J452" s="15" t="inlineStr">
        <is>
          <t>3–5</t>
        </is>
      </c>
      <c r="K452" s="15" t="inlineStr">
        <is>
          <t>Short 9:16</t>
        </is>
      </c>
      <c r="L452" s="15" t="inlineStr">
        <is>
          <t>45–60 s</t>
        </is>
      </c>
      <c r="M452" s="15" t="inlineStr">
        <is>
          <t>Mila + French narrator</t>
        </is>
      </c>
      <c r="N452" s="15" t="inlineStr">
        <is>
          <t>Vocabulary EN→FR: C Is for Cat / Chat</t>
        </is>
      </c>
      <c r="O452" s="15" t="inlineStr">
        <is>
          <t>Yes</t>
        </is>
      </c>
      <c r="P452" s="15" t="inlineStr">
        <is>
          <t>P3</t>
        </is>
      </c>
      <c r="Q452" s="15" t="inlineStr">
        <is>
          <t>Idea</t>
        </is>
      </c>
      <c r="R452" s="48">
        <f>INDEX('Start Here'!$B$10:$B$16,WEEKDAY(C452,2))</f>
        <v/>
      </c>
      <c r="S452" s="48">
        <f>MOD(R452+'Start Here'!$B$6/24,1)</f>
        <v/>
      </c>
      <c r="T452" s="15" t="n"/>
      <c r="U452" s="15" t="n"/>
      <c r="V452" s="15" t="n"/>
      <c r="W452" s="15" t="n"/>
      <c r="X452" s="20" t="n"/>
      <c r="Y452" s="15" t="n"/>
    </row>
    <row r="453">
      <c r="A453" s="15" t="n">
        <v>452</v>
      </c>
      <c r="B453" s="16">
        <f>INT((A453-1)/7)+1</f>
        <v/>
      </c>
      <c r="C453" s="47">
        <f>'Start Here'!$B$5+A453-1</f>
        <v/>
      </c>
      <c r="D453" s="16">
        <f>TEXT(C453,"ddd")</f>
        <v/>
      </c>
      <c r="E453" s="15" t="inlineStr">
        <is>
          <t>Animal Thursday</t>
        </is>
      </c>
      <c r="F453" s="23" t="inlineStr">
        <is>
          <t>🦁 Animal Stories</t>
        </is>
      </c>
      <c r="G453" s="15" t="n">
        <v>65</v>
      </c>
      <c r="H453" s="15" t="inlineStr">
        <is>
          <t>Jungle Hide-and-Seek</t>
        </is>
      </c>
      <c r="I453" s="15" t="inlineStr">
        <is>
          <t>Jungle Hide-and-Seek 🦁 | Animal Stories for Kids | Tiny Sparks</t>
        </is>
      </c>
      <c r="J453" s="15" t="inlineStr">
        <is>
          <t>3–5</t>
        </is>
      </c>
      <c r="K453" s="15" t="inlineStr">
        <is>
          <t>Long 16:9 + Short teaser</t>
        </is>
      </c>
      <c r="L453" s="15" t="inlineStr">
        <is>
          <t>3–5 min (Short: 50 s)</t>
        </is>
      </c>
      <c r="M453" s="15" t="inlineStr">
        <is>
          <t>guest animal(s) + Bobo</t>
        </is>
      </c>
      <c r="N453" s="15" t="inlineStr">
        <is>
          <t>Story + 3 true animal facts; value: friendship</t>
        </is>
      </c>
      <c r="O453" s="15" t="inlineStr">
        <is>
          <t>Build first: jungle</t>
        </is>
      </c>
      <c r="P453" s="15" t="inlineStr">
        <is>
          <t>P3</t>
        </is>
      </c>
      <c r="Q453" s="15" t="inlineStr">
        <is>
          <t>Idea</t>
        </is>
      </c>
      <c r="R453" s="48">
        <f>INDEX('Start Here'!$B$10:$B$16,WEEKDAY(C453,2))</f>
        <v/>
      </c>
      <c r="S453" s="48">
        <f>MOD(R453+'Start Here'!$B$6/24,1)</f>
        <v/>
      </c>
      <c r="T453" s="15" t="n"/>
      <c r="U453" s="15" t="n"/>
      <c r="V453" s="15" t="n"/>
      <c r="W453" s="15" t="n"/>
      <c r="X453" s="20" t="n"/>
      <c r="Y453" s="15" t="n"/>
    </row>
    <row r="454">
      <c r="A454" s="15" t="n">
        <v>453</v>
      </c>
      <c r="B454" s="16">
        <f>INT((A454-1)/7)+1</f>
        <v/>
      </c>
      <c r="C454" s="47">
        <f>'Start Here'!$B$5+A454-1</f>
        <v/>
      </c>
      <c r="D454" s="16">
        <f>TEXT(C454,"ddd")</f>
        <v/>
      </c>
      <c r="E454" s="15" t="inlineStr">
        <is>
          <t>Science Friday</t>
        </is>
      </c>
      <c r="F454" s="24" t="inlineStr">
        <is>
          <t>🚀 Science for Kids</t>
        </is>
      </c>
      <c r="G454" s="15" t="n">
        <v>65</v>
      </c>
      <c r="H454" s="15" t="inlineStr">
        <is>
          <t>Meet Earth</t>
        </is>
      </c>
      <c r="I454" s="15" t="inlineStr">
        <is>
          <t>Meet Earth 🚀 | Science for Kids | Tiny Sparks</t>
        </is>
      </c>
      <c r="J454" s="15" t="inlineStr">
        <is>
          <t>6–8</t>
        </is>
      </c>
      <c r="K454" s="15" t="inlineStr">
        <is>
          <t>Short 9:16</t>
        </is>
      </c>
      <c r="L454" s="15" t="inlineStr">
        <is>
          <t>45–60 s</t>
        </is>
      </c>
      <c r="M454" s="15" t="inlineStr">
        <is>
          <t>Prof. Hoot + Leo (wrong guess) + Mila</t>
        </is>
      </c>
      <c r="N454" s="15" t="inlineStr">
        <is>
          <t>Answer simply: Meet Earth</t>
        </is>
      </c>
      <c r="O454" s="15" t="inlineStr">
        <is>
          <t>Yes</t>
        </is>
      </c>
      <c r="P454" s="15" t="inlineStr">
        <is>
          <t>P3</t>
        </is>
      </c>
      <c r="Q454" s="15" t="inlineStr">
        <is>
          <t>Idea</t>
        </is>
      </c>
      <c r="R454" s="48">
        <f>INDEX('Start Here'!$B$10:$B$16,WEEKDAY(C454,2))</f>
        <v/>
      </c>
      <c r="S454" s="48">
        <f>MOD(R454+'Start Here'!$B$6/24,1)</f>
        <v/>
      </c>
      <c r="T454" s="15" t="n"/>
      <c r="U454" s="15" t="n"/>
      <c r="V454" s="15" t="n"/>
      <c r="W454" s="15" t="n"/>
      <c r="X454" s="20" t="n"/>
      <c r="Y454" s="15" t="n"/>
    </row>
    <row r="455">
      <c r="A455" s="15" t="n">
        <v>454</v>
      </c>
      <c r="B455" s="16">
        <f>INT((A455-1)/7)+1</f>
        <v/>
      </c>
      <c r="C455" s="47">
        <f>'Start Here'!$B$5+A455-1</f>
        <v/>
      </c>
      <c r="D455" s="16">
        <f>TEXT(C455,"ddd")</f>
        <v/>
      </c>
      <c r="E455" s="15" t="inlineStr">
        <is>
          <t>Puzzle Saturday</t>
        </is>
      </c>
      <c r="F455" s="25" t="inlineStr">
        <is>
          <t>🧩 Puzzles &amp; Problem-Solving</t>
        </is>
      </c>
      <c r="G455" s="15" t="n">
        <v>65</v>
      </c>
      <c r="H455" s="15" t="inlineStr">
        <is>
          <t>Remember the Objects</t>
        </is>
      </c>
      <c r="I455" s="15" t="inlineStr">
        <is>
          <t>Remember the Objects 🧩 | Brain Games for Kids | Tiny Sparks</t>
        </is>
      </c>
      <c r="J455" s="15" t="inlineStr">
        <is>
          <t>3–5</t>
        </is>
      </c>
      <c r="K455" s="15" t="inlineStr">
        <is>
          <t>Short 9:16</t>
        </is>
      </c>
      <c r="L455" s="15" t="inlineStr">
        <is>
          <t>45–60 s</t>
        </is>
      </c>
      <c r="M455" s="15" t="inlineStr">
        <is>
          <t>Prof. Hoot + Leo + score strip</t>
        </is>
      </c>
      <c r="N455" s="15" t="inlineStr">
        <is>
          <t>Thinking skill: memory</t>
        </is>
      </c>
      <c r="O455" s="15" t="inlineStr">
        <is>
          <t>Yes</t>
        </is>
      </c>
      <c r="P455" s="15" t="inlineStr">
        <is>
          <t>P3</t>
        </is>
      </c>
      <c r="Q455" s="15" t="inlineStr">
        <is>
          <t>Idea</t>
        </is>
      </c>
      <c r="R455" s="48">
        <f>INDEX('Start Here'!$B$10:$B$16,WEEKDAY(C455,2))</f>
        <v/>
      </c>
      <c r="S455" s="48">
        <f>MOD(R455+'Start Here'!$B$6/24,1)</f>
        <v/>
      </c>
      <c r="T455" s="15" t="n"/>
      <c r="U455" s="15" t="n"/>
      <c r="V455" s="15" t="n"/>
      <c r="W455" s="15" t="n"/>
      <c r="X455" s="20" t="n"/>
      <c r="Y455" s="15" t="n"/>
    </row>
    <row r="456">
      <c r="A456" s="15" t="n">
        <v>455</v>
      </c>
      <c r="B456" s="16">
        <f>INT((A456-1)/7)+1</f>
        <v/>
      </c>
      <c r="C456" s="47">
        <f>'Start Here'!$B$5+A456-1</f>
        <v/>
      </c>
      <c r="D456" s="16">
        <f>TEXT(C456,"ddd")</f>
        <v/>
      </c>
      <c r="E456" s="15" t="inlineStr">
        <is>
          <t>Song Sunday</t>
        </is>
      </c>
      <c r="F456" s="26" t="inlineStr">
        <is>
          <t>🎵 Educational Songs</t>
        </is>
      </c>
      <c r="G456" s="15" t="n">
        <v>65</v>
      </c>
      <c r="H456" s="15" t="inlineStr">
        <is>
          <t>Rocket Song</t>
        </is>
      </c>
      <c r="I456" s="15" t="inlineStr">
        <is>
          <t>Rocket Song 🎵 | Kids Songs | Tiny Sparks</t>
        </is>
      </c>
      <c r="J456" s="15" t="inlineStr">
        <is>
          <t>6–8</t>
        </is>
      </c>
      <c r="K456" s="15" t="inlineStr">
        <is>
          <t>Long 16:9 + Short cut</t>
        </is>
      </c>
      <c r="L456" s="15" t="inlineStr">
        <is>
          <t>2–3 min (Short: 45 s chorus)</t>
        </is>
      </c>
      <c r="M456" s="15" t="inlineStr">
        <is>
          <t>Mila sings, all dance</t>
        </is>
      </c>
      <c r="N456" s="15" t="inlineStr">
        <is>
          <t>Sing &amp; learn: Rocket</t>
        </is>
      </c>
      <c r="O456" s="15" t="inlineStr">
        <is>
          <t>Yes</t>
        </is>
      </c>
      <c r="P456" s="15" t="inlineStr">
        <is>
          <t>P3</t>
        </is>
      </c>
      <c r="Q456" s="15" t="inlineStr">
        <is>
          <t>Idea</t>
        </is>
      </c>
      <c r="R456" s="48">
        <f>INDEX('Start Here'!$B$10:$B$16,WEEKDAY(C456,2))</f>
        <v/>
      </c>
      <c r="S456" s="48">
        <f>MOD(R456+'Start Here'!$B$6/24,1)</f>
        <v/>
      </c>
      <c r="T456" s="15" t="n"/>
      <c r="U456" s="15" t="n"/>
      <c r="V456" s="15" t="n"/>
      <c r="W456" s="15" t="n"/>
      <c r="X456" s="20" t="n"/>
      <c r="Y456" s="15" t="n"/>
    </row>
    <row r="457">
      <c r="A457" s="15" t="n">
        <v>456</v>
      </c>
      <c r="B457" s="16">
        <f>INT((A457-1)/7)+1</f>
        <v/>
      </c>
      <c r="C457" s="47">
        <f>'Start Here'!$B$5+A457-1</f>
        <v/>
      </c>
      <c r="D457" s="16">
        <f>TEXT(C457,"ddd")</f>
        <v/>
      </c>
      <c r="E457" s="15" t="inlineStr">
        <is>
          <t>Story Monday</t>
        </is>
      </c>
      <c r="F457" s="27" t="inlineStr">
        <is>
          <t>📚 Moral Stories</t>
        </is>
      </c>
      <c r="G457" s="15" t="n">
        <v>33</v>
      </c>
      <c r="H457" s="15" t="inlineStr">
        <is>
          <t>The Lion Who Needed Help</t>
        </is>
      </c>
      <c r="I457" s="15" t="inlineStr">
        <is>
          <t>The Lion Who Needed Help 📚 | Moral Stories for Kids | Tiny Sparks</t>
        </is>
      </c>
      <c r="J457" s="15" t="inlineStr">
        <is>
          <t>3–5</t>
        </is>
      </c>
      <c r="K457" s="15" t="inlineStr">
        <is>
          <t>Long 16:9 + Short teaser</t>
        </is>
      </c>
      <c r="L457" s="15" t="inlineStr">
        <is>
          <t>3–5 min (Short: 50 s)</t>
        </is>
      </c>
      <c r="M457" s="15" t="inlineStr">
        <is>
          <t>narrator + guest animals / Mila &amp; Leo</t>
        </is>
      </c>
      <c r="N457" s="15" t="inlineStr">
        <is>
          <t>Value: helping others</t>
        </is>
      </c>
      <c r="O457" s="15" t="inlineStr">
        <is>
          <t>Yes</t>
        </is>
      </c>
      <c r="P457" s="15" t="inlineStr">
        <is>
          <t>P3</t>
        </is>
      </c>
      <c r="Q457" s="15" t="inlineStr">
        <is>
          <t>Idea</t>
        </is>
      </c>
      <c r="R457" s="48">
        <f>INDEX('Start Here'!$B$10:$B$16,WEEKDAY(C457,2))</f>
        <v/>
      </c>
      <c r="S457" s="48">
        <f>MOD(R457+'Start Here'!$B$6/24,1)</f>
        <v/>
      </c>
      <c r="T457" s="15" t="n"/>
      <c r="U457" s="15" t="n"/>
      <c r="V457" s="15" t="n"/>
      <c r="W457" s="15" t="n"/>
      <c r="X457" s="20" t="n"/>
      <c r="Y457" s="15" t="n"/>
    </row>
    <row r="458">
      <c r="A458" s="15" t="n">
        <v>457</v>
      </c>
      <c r="B458" s="16">
        <f>INT((A458-1)/7)+1</f>
        <v/>
      </c>
      <c r="C458" s="47">
        <f>'Start Here'!$B$5+A458-1</f>
        <v/>
      </c>
      <c r="D458" s="16">
        <f>TEXT(C458,"ddd")</f>
        <v/>
      </c>
      <c r="E458" s="15" t="inlineStr">
        <is>
          <t>Math Tuesday</t>
        </is>
      </c>
      <c r="F458" s="21" t="inlineStr">
        <is>
          <t>🔢 Numbers &amp; Math</t>
        </is>
      </c>
      <c r="G458" s="15" t="n">
        <v>66</v>
      </c>
      <c r="H458" s="15" t="inlineStr">
        <is>
          <t>More vs Less</t>
        </is>
      </c>
      <c r="I458" s="15" t="inlineStr">
        <is>
          <t>More vs Less 🔢 | Learn Math for Kids | Tiny Sparks</t>
        </is>
      </c>
      <c r="J458" s="15" t="inlineStr">
        <is>
          <t>3–5</t>
        </is>
      </c>
      <c r="K458" s="15" t="inlineStr">
        <is>
          <t>Short 9:16</t>
        </is>
      </c>
      <c r="L458" s="15" t="inlineStr">
        <is>
          <t>45–60 s</t>
        </is>
      </c>
      <c r="M458" s="15" t="inlineStr">
        <is>
          <t>Bobo + Mila (counting fingers)</t>
        </is>
      </c>
      <c r="N458" s="15" t="inlineStr">
        <is>
          <t>Math: More vs Less</t>
        </is>
      </c>
      <c r="O458" s="15" t="inlineStr">
        <is>
          <t>Yes</t>
        </is>
      </c>
      <c r="P458" s="15" t="inlineStr">
        <is>
          <t>P3</t>
        </is>
      </c>
      <c r="Q458" s="15" t="inlineStr">
        <is>
          <t>Idea</t>
        </is>
      </c>
      <c r="R458" s="48">
        <f>INDEX('Start Here'!$B$10:$B$16,WEEKDAY(C458,2))</f>
        <v/>
      </c>
      <c r="S458" s="48">
        <f>MOD(R458+'Start Here'!$B$6/24,1)</f>
        <v/>
      </c>
      <c r="T458" s="15" t="n"/>
      <c r="U458" s="15" t="n"/>
      <c r="V458" s="15" t="n"/>
      <c r="W458" s="15" t="n"/>
      <c r="X458" s="20" t="n"/>
      <c r="Y458" s="15" t="n"/>
    </row>
    <row r="459">
      <c r="A459" s="15" t="n">
        <v>458</v>
      </c>
      <c r="B459" s="16">
        <f>INT((A459-1)/7)+1</f>
        <v/>
      </c>
      <c r="C459" s="47">
        <f>'Start Here'!$B$5+A459-1</f>
        <v/>
      </c>
      <c r="D459" s="16">
        <f>TEXT(C459,"ddd")</f>
        <v/>
      </c>
      <c r="E459" s="15" t="inlineStr">
        <is>
          <t>Word Wednesday</t>
        </is>
      </c>
      <c r="F459" s="22" t="inlineStr">
        <is>
          <t>🔤 English/French Words</t>
        </is>
      </c>
      <c r="G459" s="15" t="n">
        <v>66</v>
      </c>
      <c r="H459" s="15" t="inlineStr">
        <is>
          <t>D Is for Dog / Chien</t>
        </is>
      </c>
      <c r="I459" s="15" t="inlineStr">
        <is>
          <t>D Is for Dog / Chien 🔤 | Kids Vocabulary | Tiny Sparks</t>
        </is>
      </c>
      <c r="J459" s="15" t="inlineStr">
        <is>
          <t>3–5</t>
        </is>
      </c>
      <c r="K459" s="15" t="inlineStr">
        <is>
          <t>Short 9:16</t>
        </is>
      </c>
      <c r="L459" s="15" t="inlineStr">
        <is>
          <t>45–60 s</t>
        </is>
      </c>
      <c r="M459" s="15" t="inlineStr">
        <is>
          <t>Mila + French narrator</t>
        </is>
      </c>
      <c r="N459" s="15" t="inlineStr">
        <is>
          <t>Vocabulary EN→FR: D Is for Dog / Chien</t>
        </is>
      </c>
      <c r="O459" s="15" t="inlineStr">
        <is>
          <t>Build first: dog</t>
        </is>
      </c>
      <c r="P459" s="15" t="inlineStr">
        <is>
          <t>P3</t>
        </is>
      </c>
      <c r="Q459" s="15" t="inlineStr">
        <is>
          <t>Idea</t>
        </is>
      </c>
      <c r="R459" s="48">
        <f>INDEX('Start Here'!$B$10:$B$16,WEEKDAY(C459,2))</f>
        <v/>
      </c>
      <c r="S459" s="48">
        <f>MOD(R459+'Start Here'!$B$6/24,1)</f>
        <v/>
      </c>
      <c r="T459" s="15" t="n"/>
      <c r="U459" s="15" t="n"/>
      <c r="V459" s="15" t="n"/>
      <c r="W459" s="15" t="n"/>
      <c r="X459" s="20" t="n"/>
      <c r="Y459" s="15" t="n"/>
    </row>
    <row r="460">
      <c r="A460" s="15" t="n">
        <v>459</v>
      </c>
      <c r="B460" s="16">
        <f>INT((A460-1)/7)+1</f>
        <v/>
      </c>
      <c r="C460" s="47">
        <f>'Start Here'!$B$5+A460-1</f>
        <v/>
      </c>
      <c r="D460" s="16">
        <f>TEXT(C460,"ddd")</f>
        <v/>
      </c>
      <c r="E460" s="15" t="inlineStr">
        <is>
          <t>Animal Thursday</t>
        </is>
      </c>
      <c r="F460" s="23" t="inlineStr">
        <is>
          <t>🦁 Animal Stories</t>
        </is>
      </c>
      <c r="G460" s="15" t="n">
        <v>66</v>
      </c>
      <c r="H460" s="15" t="inlineStr">
        <is>
          <t>Forest Camping Adventure</t>
        </is>
      </c>
      <c r="I460" s="15" t="inlineStr">
        <is>
          <t>Forest Camping Adventure 🦁 | Animal Stories for Kids | Tiny Sparks</t>
        </is>
      </c>
      <c r="J460" s="15" t="inlineStr">
        <is>
          <t>3–5</t>
        </is>
      </c>
      <c r="K460" s="15" t="inlineStr">
        <is>
          <t>Long 16:9 + Short teaser</t>
        </is>
      </c>
      <c r="L460" s="15" t="inlineStr">
        <is>
          <t>3–5 min (Short: 50 s)</t>
        </is>
      </c>
      <c r="M460" s="15" t="inlineStr">
        <is>
          <t>guest animal(s) + Bobo</t>
        </is>
      </c>
      <c r="N460" s="15" t="inlineStr">
        <is>
          <t>Story + 3 true animal facts; value: caring for the planet</t>
        </is>
      </c>
      <c r="O460" s="15" t="inlineStr">
        <is>
          <t>Yes</t>
        </is>
      </c>
      <c r="P460" s="15" t="inlineStr">
        <is>
          <t>P3</t>
        </is>
      </c>
      <c r="Q460" s="15" t="inlineStr">
        <is>
          <t>Idea</t>
        </is>
      </c>
      <c r="R460" s="48">
        <f>INDEX('Start Here'!$B$10:$B$16,WEEKDAY(C460,2))</f>
        <v/>
      </c>
      <c r="S460" s="48">
        <f>MOD(R460+'Start Here'!$B$6/24,1)</f>
        <v/>
      </c>
      <c r="T460" s="15" t="n"/>
      <c r="U460" s="15" t="n"/>
      <c r="V460" s="15" t="n"/>
      <c r="W460" s="15" t="n"/>
      <c r="X460" s="20" t="n"/>
      <c r="Y460" s="15" t="n"/>
    </row>
    <row r="461">
      <c r="A461" s="15" t="n">
        <v>460</v>
      </c>
      <c r="B461" s="16">
        <f>INT((A461-1)/7)+1</f>
        <v/>
      </c>
      <c r="C461" s="47">
        <f>'Start Here'!$B$5+A461-1</f>
        <v/>
      </c>
      <c r="D461" s="16">
        <f>TEXT(C461,"ddd")</f>
        <v/>
      </c>
      <c r="E461" s="15" t="inlineStr">
        <is>
          <t>Science Friday</t>
        </is>
      </c>
      <c r="F461" s="24" t="inlineStr">
        <is>
          <t>🚀 Science for Kids</t>
        </is>
      </c>
      <c r="G461" s="15" t="n">
        <v>66</v>
      </c>
      <c r="H461" s="15" t="inlineStr">
        <is>
          <t>Meet Mars</t>
        </is>
      </c>
      <c r="I461" s="15" t="inlineStr">
        <is>
          <t>Meet Mars 🚀 | Science for Kids | Tiny Sparks</t>
        </is>
      </c>
      <c r="J461" s="15" t="inlineStr">
        <is>
          <t>6–8</t>
        </is>
      </c>
      <c r="K461" s="15" t="inlineStr">
        <is>
          <t>Short 9:16</t>
        </is>
      </c>
      <c r="L461" s="15" t="inlineStr">
        <is>
          <t>45–60 s</t>
        </is>
      </c>
      <c r="M461" s="15" t="inlineStr">
        <is>
          <t>Prof. Hoot + Leo (wrong guess) + Mila</t>
        </is>
      </c>
      <c r="N461" s="15" t="inlineStr">
        <is>
          <t>Answer simply: Meet Mars</t>
        </is>
      </c>
      <c r="O461" s="15" t="inlineStr">
        <is>
          <t>Yes</t>
        </is>
      </c>
      <c r="P461" s="15" t="inlineStr">
        <is>
          <t>P3</t>
        </is>
      </c>
      <c r="Q461" s="15" t="inlineStr">
        <is>
          <t>Idea</t>
        </is>
      </c>
      <c r="R461" s="48">
        <f>INDEX('Start Here'!$B$10:$B$16,WEEKDAY(C461,2))</f>
        <v/>
      </c>
      <c r="S461" s="48">
        <f>MOD(R461+'Start Here'!$B$6/24,1)</f>
        <v/>
      </c>
      <c r="T461" s="15" t="n"/>
      <c r="U461" s="15" t="n"/>
      <c r="V461" s="15" t="n"/>
      <c r="W461" s="15" t="n"/>
      <c r="X461" s="20" t="n"/>
      <c r="Y461" s="15" t="n"/>
    </row>
    <row r="462">
      <c r="A462" s="15" t="n">
        <v>461</v>
      </c>
      <c r="B462" s="16">
        <f>INT((A462-1)/7)+1</f>
        <v/>
      </c>
      <c r="C462" s="47">
        <f>'Start Here'!$B$5+A462-1</f>
        <v/>
      </c>
      <c r="D462" s="16">
        <f>TEXT(C462,"ddd")</f>
        <v/>
      </c>
      <c r="E462" s="15" t="inlineStr">
        <is>
          <t>Puzzle Saturday</t>
        </is>
      </c>
      <c r="F462" s="25" t="inlineStr">
        <is>
          <t>🧩 Puzzles &amp; Problem-Solving</t>
        </is>
      </c>
      <c r="G462" s="15" t="n">
        <v>66</v>
      </c>
      <c r="H462" s="15" t="inlineStr">
        <is>
          <t>Memory Challenge: School</t>
        </is>
      </c>
      <c r="I462" s="15" t="inlineStr">
        <is>
          <t>Memory Challenge: School 🧩 | Brain Games for Kids | Tiny Sparks</t>
        </is>
      </c>
      <c r="J462" s="15" t="inlineStr">
        <is>
          <t>6–8</t>
        </is>
      </c>
      <c r="K462" s="15" t="inlineStr">
        <is>
          <t>Long 16:9</t>
        </is>
      </c>
      <c r="L462" s="15" t="inlineStr">
        <is>
          <t>4–8 min</t>
        </is>
      </c>
      <c r="M462" s="15" t="inlineStr">
        <is>
          <t>Prof. Hoot + Leo + score strip</t>
        </is>
      </c>
      <c r="N462" s="15" t="inlineStr">
        <is>
          <t>Thinking skill: memory</t>
        </is>
      </c>
      <c r="O462" s="15" t="inlineStr">
        <is>
          <t>Yes</t>
        </is>
      </c>
      <c r="P462" s="15" t="inlineStr">
        <is>
          <t>P3</t>
        </is>
      </c>
      <c r="Q462" s="15" t="inlineStr">
        <is>
          <t>Idea</t>
        </is>
      </c>
      <c r="R462" s="48">
        <f>INDEX('Start Here'!$B$10:$B$16,WEEKDAY(C462,2))</f>
        <v/>
      </c>
      <c r="S462" s="48">
        <f>MOD(R462+'Start Here'!$B$6/24,1)</f>
        <v/>
      </c>
      <c r="T462" s="15" t="n"/>
      <c r="U462" s="15" t="n"/>
      <c r="V462" s="15" t="n"/>
      <c r="W462" s="15" t="n"/>
      <c r="X462" s="20" t="n"/>
      <c r="Y462" s="15" t="n"/>
    </row>
    <row r="463">
      <c r="A463" s="15" t="n">
        <v>462</v>
      </c>
      <c r="B463" s="16">
        <f>INT((A463-1)/7)+1</f>
        <v/>
      </c>
      <c r="C463" s="47">
        <f>'Start Here'!$B$5+A463-1</f>
        <v/>
      </c>
      <c r="D463" s="16">
        <f>TEXT(C463,"ddd")</f>
        <v/>
      </c>
      <c r="E463" s="15" t="inlineStr">
        <is>
          <t>Song Sunday</t>
        </is>
      </c>
      <c r="F463" s="26" t="inlineStr">
        <is>
          <t>🎵 Educational Songs</t>
        </is>
      </c>
      <c r="G463" s="15" t="n">
        <v>66</v>
      </c>
      <c r="H463" s="15" t="inlineStr">
        <is>
          <t>Moon Song</t>
        </is>
      </c>
      <c r="I463" s="15" t="inlineStr">
        <is>
          <t>Moon Song 🎵 | Kids Songs | Tiny Sparks</t>
        </is>
      </c>
      <c r="J463" s="15" t="inlineStr">
        <is>
          <t>3–5</t>
        </is>
      </c>
      <c r="K463" s="15" t="inlineStr">
        <is>
          <t>Long 16:9 + Short cut</t>
        </is>
      </c>
      <c r="L463" s="15" t="inlineStr">
        <is>
          <t>2–3 min (Short: 45 s chorus)</t>
        </is>
      </c>
      <c r="M463" s="15" t="inlineStr">
        <is>
          <t>Mila sings, all dance</t>
        </is>
      </c>
      <c r="N463" s="15" t="inlineStr">
        <is>
          <t>Sing &amp; learn: Moon</t>
        </is>
      </c>
      <c r="O463" s="15" t="inlineStr">
        <is>
          <t>Yes</t>
        </is>
      </c>
      <c r="P463" s="15" t="inlineStr">
        <is>
          <t>P3</t>
        </is>
      </c>
      <c r="Q463" s="15" t="inlineStr">
        <is>
          <t>Idea</t>
        </is>
      </c>
      <c r="R463" s="48">
        <f>INDEX('Start Here'!$B$10:$B$16,WEEKDAY(C463,2))</f>
        <v/>
      </c>
      <c r="S463" s="48">
        <f>MOD(R463+'Start Here'!$B$6/24,1)</f>
        <v/>
      </c>
      <c r="T463" s="15" t="n"/>
      <c r="U463" s="15" t="n"/>
      <c r="V463" s="15" t="n"/>
      <c r="W463" s="15" t="n"/>
      <c r="X463" s="20" t="n"/>
      <c r="Y463" s="15" t="n"/>
    </row>
    <row r="464">
      <c r="A464" s="15" t="n">
        <v>463</v>
      </c>
      <c r="B464" s="16">
        <f>INT((A464-1)/7)+1</f>
        <v/>
      </c>
      <c r="C464" s="47">
        <f>'Start Here'!$B$5+A464-1</f>
        <v/>
      </c>
      <c r="D464" s="16">
        <f>TEXT(C464,"ddd")</f>
        <v/>
      </c>
      <c r="E464" s="15" t="inlineStr">
        <is>
          <t>Story Monday</t>
        </is>
      </c>
      <c r="F464" s="18" t="inlineStr">
        <is>
          <t>🧠 Educational Stories</t>
        </is>
      </c>
      <c r="G464" s="15" t="n">
        <v>34</v>
      </c>
      <c r="H464" s="15" t="inlineStr">
        <is>
          <t>The Day Everyone Worked Together</t>
        </is>
      </c>
      <c r="I464" s="15" t="inlineStr">
        <is>
          <t>The Day Everyone Worked Together 🧠 | Kids Stories | Tiny Sparks</t>
        </is>
      </c>
      <c r="J464" s="15" t="inlineStr">
        <is>
          <t>3–5</t>
        </is>
      </c>
      <c r="K464" s="15" t="inlineStr">
        <is>
          <t>Long 16:9 + Short teaser</t>
        </is>
      </c>
      <c r="L464" s="15" t="inlineStr">
        <is>
          <t>3–5 min (Short: 50 s)</t>
        </is>
      </c>
      <c r="M464" s="15" t="inlineStr">
        <is>
          <t>Mila, Leo, Bobo + narrator</t>
        </is>
      </c>
      <c r="N464" s="15" t="inlineStr">
        <is>
          <t>Life skill: teamwork</t>
        </is>
      </c>
      <c r="O464" s="15" t="inlineStr">
        <is>
          <t>Yes</t>
        </is>
      </c>
      <c r="P464" s="15" t="inlineStr">
        <is>
          <t>P3</t>
        </is>
      </c>
      <c r="Q464" s="15" t="inlineStr">
        <is>
          <t>Idea</t>
        </is>
      </c>
      <c r="R464" s="48">
        <f>INDEX('Start Here'!$B$10:$B$16,WEEKDAY(C464,2))</f>
        <v/>
      </c>
      <c r="S464" s="48">
        <f>MOD(R464+'Start Here'!$B$6/24,1)</f>
        <v/>
      </c>
      <c r="T464" s="15" t="n"/>
      <c r="U464" s="15" t="n"/>
      <c r="V464" s="15" t="n"/>
      <c r="W464" s="15" t="n"/>
      <c r="X464" s="20" t="n"/>
      <c r="Y464" s="15" t="n"/>
    </row>
    <row r="465">
      <c r="A465" s="15" t="n">
        <v>464</v>
      </c>
      <c r="B465" s="16">
        <f>INT((A465-1)/7)+1</f>
        <v/>
      </c>
      <c r="C465" s="47">
        <f>'Start Here'!$B$5+A465-1</f>
        <v/>
      </c>
      <c r="D465" s="16">
        <f>TEXT(C465,"ddd")</f>
        <v/>
      </c>
      <c r="E465" s="15" t="inlineStr">
        <is>
          <t>Math Tuesday</t>
        </is>
      </c>
      <c r="F465" s="21" t="inlineStr">
        <is>
          <t>🔢 Numbers &amp; Math</t>
        </is>
      </c>
      <c r="G465" s="15" t="n">
        <v>67</v>
      </c>
      <c r="H465" s="15" t="inlineStr">
        <is>
          <t>Full vs Empty</t>
        </is>
      </c>
      <c r="I465" s="15" t="inlineStr">
        <is>
          <t>Full vs Empty 🔢 | Learn Math for Kids | Tiny Sparks</t>
        </is>
      </c>
      <c r="J465" s="15" t="inlineStr">
        <is>
          <t>3–5</t>
        </is>
      </c>
      <c r="K465" s="15" t="inlineStr">
        <is>
          <t>Short 9:16</t>
        </is>
      </c>
      <c r="L465" s="15" t="inlineStr">
        <is>
          <t>45–60 s</t>
        </is>
      </c>
      <c r="M465" s="15" t="inlineStr">
        <is>
          <t>Bobo + Mila (counting fingers)</t>
        </is>
      </c>
      <c r="N465" s="15" t="inlineStr">
        <is>
          <t>Math: Full vs Empty</t>
        </is>
      </c>
      <c r="O465" s="15" t="inlineStr">
        <is>
          <t>Yes</t>
        </is>
      </c>
      <c r="P465" s="15" t="inlineStr">
        <is>
          <t>P3</t>
        </is>
      </c>
      <c r="Q465" s="15" t="inlineStr">
        <is>
          <t>Idea</t>
        </is>
      </c>
      <c r="R465" s="48">
        <f>INDEX('Start Here'!$B$10:$B$16,WEEKDAY(C465,2))</f>
        <v/>
      </c>
      <c r="S465" s="48">
        <f>MOD(R465+'Start Here'!$B$6/24,1)</f>
        <v/>
      </c>
      <c r="T465" s="15" t="n"/>
      <c r="U465" s="15" t="n"/>
      <c r="V465" s="15" t="n"/>
      <c r="W465" s="15" t="n"/>
      <c r="X465" s="20" t="n"/>
      <c r="Y465" s="15" t="n"/>
    </row>
    <row r="466">
      <c r="A466" s="15" t="n">
        <v>465</v>
      </c>
      <c r="B466" s="16">
        <f>INT((A466-1)/7)+1</f>
        <v/>
      </c>
      <c r="C466" s="47">
        <f>'Start Here'!$B$5+A466-1</f>
        <v/>
      </c>
      <c r="D466" s="16">
        <f>TEXT(C466,"ddd")</f>
        <v/>
      </c>
      <c r="E466" s="15" t="inlineStr">
        <is>
          <t>Word Wednesday</t>
        </is>
      </c>
      <c r="F466" s="22" t="inlineStr">
        <is>
          <t>🔤 English/French Words</t>
        </is>
      </c>
      <c r="G466" s="15" t="n">
        <v>67</v>
      </c>
      <c r="H466" s="15" t="inlineStr">
        <is>
          <t>E Is for Elephant / Éléphant</t>
        </is>
      </c>
      <c r="I466" s="15" t="inlineStr">
        <is>
          <t>E Is for Elephant / Éléphant 🔤 | Kids Vocabulary | Tiny Sparks</t>
        </is>
      </c>
      <c r="J466" s="15" t="inlineStr">
        <is>
          <t>3–5</t>
        </is>
      </c>
      <c r="K466" s="15" t="inlineStr">
        <is>
          <t>Short 9:16</t>
        </is>
      </c>
      <c r="L466" s="15" t="inlineStr">
        <is>
          <t>45–60 s</t>
        </is>
      </c>
      <c r="M466" s="15" t="inlineStr">
        <is>
          <t>Mila + French narrator</t>
        </is>
      </c>
      <c r="N466" s="15" t="inlineStr">
        <is>
          <t>Vocabulary EN→FR: E Is for Elephant / Éléphant</t>
        </is>
      </c>
      <c r="O466" s="15" t="inlineStr">
        <is>
          <t>Build first: elephant</t>
        </is>
      </c>
      <c r="P466" s="15" t="inlineStr">
        <is>
          <t>P3</t>
        </is>
      </c>
      <c r="Q466" s="15" t="inlineStr">
        <is>
          <t>Idea</t>
        </is>
      </c>
      <c r="R466" s="48">
        <f>INDEX('Start Here'!$B$10:$B$16,WEEKDAY(C466,2))</f>
        <v/>
      </c>
      <c r="S466" s="48">
        <f>MOD(R466+'Start Here'!$B$6/24,1)</f>
        <v/>
      </c>
      <c r="T466" s="15" t="n"/>
      <c r="U466" s="15" t="n"/>
      <c r="V466" s="15" t="n"/>
      <c r="W466" s="15" t="n"/>
      <c r="X466" s="20" t="n"/>
      <c r="Y466" s="15" t="n"/>
    </row>
    <row r="467">
      <c r="A467" s="15" t="n">
        <v>466</v>
      </c>
      <c r="B467" s="16">
        <f>INT((A467-1)/7)+1</f>
        <v/>
      </c>
      <c r="C467" s="47">
        <f>'Start Here'!$B$5+A467-1</f>
        <v/>
      </c>
      <c r="D467" s="16">
        <f>TEXT(C467,"ddd")</f>
        <v/>
      </c>
      <c r="E467" s="15" t="inlineStr">
        <is>
          <t>Animal Thursday</t>
        </is>
      </c>
      <c r="F467" s="23" t="inlineStr">
        <is>
          <t>🦁 Animal Stories</t>
        </is>
      </c>
      <c r="G467" s="15" t="n">
        <v>67</v>
      </c>
      <c r="H467" s="15" t="inlineStr">
        <is>
          <t>Animal Rescue Mission</t>
        </is>
      </c>
      <c r="I467" s="15" t="inlineStr">
        <is>
          <t>Animal Rescue Mission 🦁 | Animal Stories for Kids | Tiny Sparks</t>
        </is>
      </c>
      <c r="J467" s="15" t="inlineStr">
        <is>
          <t>3–5</t>
        </is>
      </c>
      <c r="K467" s="15" t="inlineStr">
        <is>
          <t>Long 16:9 + Short teaser</t>
        </is>
      </c>
      <c r="L467" s="15" t="inlineStr">
        <is>
          <t>3–5 min (Short: 50 s)</t>
        </is>
      </c>
      <c r="M467" s="15" t="inlineStr">
        <is>
          <t>guest animal(s) + Bobo</t>
        </is>
      </c>
      <c r="N467" s="15" t="inlineStr">
        <is>
          <t>Story + 3 true animal facts; value: friendship</t>
        </is>
      </c>
      <c r="O467" s="15" t="inlineStr">
        <is>
          <t>Yes</t>
        </is>
      </c>
      <c r="P467" s="15" t="inlineStr">
        <is>
          <t>P3</t>
        </is>
      </c>
      <c r="Q467" s="15" t="inlineStr">
        <is>
          <t>Idea</t>
        </is>
      </c>
      <c r="R467" s="48">
        <f>INDEX('Start Here'!$B$10:$B$16,WEEKDAY(C467,2))</f>
        <v/>
      </c>
      <c r="S467" s="48">
        <f>MOD(R467+'Start Here'!$B$6/24,1)</f>
        <v/>
      </c>
      <c r="T467" s="15" t="n"/>
      <c r="U467" s="15" t="n"/>
      <c r="V467" s="15" t="n"/>
      <c r="W467" s="15" t="n"/>
      <c r="X467" s="20" t="n"/>
      <c r="Y467" s="15" t="n"/>
    </row>
    <row r="468">
      <c r="A468" s="15" t="n">
        <v>467</v>
      </c>
      <c r="B468" s="16">
        <f>INT((A468-1)/7)+1</f>
        <v/>
      </c>
      <c r="C468" s="47">
        <f>'Start Here'!$B$5+A468-1</f>
        <v/>
      </c>
      <c r="D468" s="16">
        <f>TEXT(C468,"ddd")</f>
        <v/>
      </c>
      <c r="E468" s="15" t="inlineStr">
        <is>
          <t>Science Friday</t>
        </is>
      </c>
      <c r="F468" s="24" t="inlineStr">
        <is>
          <t>🚀 Science for Kids</t>
        </is>
      </c>
      <c r="G468" s="15" t="n">
        <v>67</v>
      </c>
      <c r="H468" s="15" t="inlineStr">
        <is>
          <t>Meet Jupiter</t>
        </is>
      </c>
      <c r="I468" s="15" t="inlineStr">
        <is>
          <t>Meet Jupiter 🚀 | Science for Kids | Tiny Sparks</t>
        </is>
      </c>
      <c r="J468" s="15" t="inlineStr">
        <is>
          <t>6–8</t>
        </is>
      </c>
      <c r="K468" s="15" t="inlineStr">
        <is>
          <t>Short 9:16</t>
        </is>
      </c>
      <c r="L468" s="15" t="inlineStr">
        <is>
          <t>45–60 s</t>
        </is>
      </c>
      <c r="M468" s="15" t="inlineStr">
        <is>
          <t>Prof. Hoot + Leo (wrong guess) + Mila</t>
        </is>
      </c>
      <c r="N468" s="15" t="inlineStr">
        <is>
          <t>Answer simply: Meet Jupiter</t>
        </is>
      </c>
      <c r="O468" s="15" t="inlineStr">
        <is>
          <t>Yes</t>
        </is>
      </c>
      <c r="P468" s="15" t="inlineStr">
        <is>
          <t>P3</t>
        </is>
      </c>
      <c r="Q468" s="15" t="inlineStr">
        <is>
          <t>Idea</t>
        </is>
      </c>
      <c r="R468" s="48">
        <f>INDEX('Start Here'!$B$10:$B$16,WEEKDAY(C468,2))</f>
        <v/>
      </c>
      <c r="S468" s="48">
        <f>MOD(R468+'Start Here'!$B$6/24,1)</f>
        <v/>
      </c>
      <c r="T468" s="15" t="n"/>
      <c r="U468" s="15" t="n"/>
      <c r="V468" s="15" t="n"/>
      <c r="W468" s="15" t="n"/>
      <c r="X468" s="20" t="n"/>
      <c r="Y468" s="15" t="n"/>
    </row>
    <row r="469">
      <c r="A469" s="15" t="n">
        <v>468</v>
      </c>
      <c r="B469" s="16">
        <f>INT((A469-1)/7)+1</f>
        <v/>
      </c>
      <c r="C469" s="47">
        <f>'Start Here'!$B$5+A469-1</f>
        <v/>
      </c>
      <c r="D469" s="16">
        <f>TEXT(C469,"ddd")</f>
        <v/>
      </c>
      <c r="E469" s="15" t="inlineStr">
        <is>
          <t>Puzzle Saturday</t>
        </is>
      </c>
      <c r="F469" s="25" t="inlineStr">
        <is>
          <t>🧩 Puzzles &amp; Problem-Solving</t>
        </is>
      </c>
      <c r="G469" s="15" t="n">
        <v>67</v>
      </c>
      <c r="H469" s="15" t="inlineStr">
        <is>
          <t>Memory Challenge: Farm</t>
        </is>
      </c>
      <c r="I469" s="15" t="inlineStr">
        <is>
          <t>Memory Challenge: Farm 🧩 | Brain Games for Kids | Tiny Sparks</t>
        </is>
      </c>
      <c r="J469" s="15" t="inlineStr">
        <is>
          <t>6–8</t>
        </is>
      </c>
      <c r="K469" s="15" t="inlineStr">
        <is>
          <t>Long 16:9</t>
        </is>
      </c>
      <c r="L469" s="15" t="inlineStr">
        <is>
          <t>4–8 min</t>
        </is>
      </c>
      <c r="M469" s="15" t="inlineStr">
        <is>
          <t>Prof. Hoot + Leo + score strip</t>
        </is>
      </c>
      <c r="N469" s="15" t="inlineStr">
        <is>
          <t>Thinking skill: memory</t>
        </is>
      </c>
      <c r="O469" s="15" t="inlineStr">
        <is>
          <t>Yes</t>
        </is>
      </c>
      <c r="P469" s="15" t="inlineStr">
        <is>
          <t>P3</t>
        </is>
      </c>
      <c r="Q469" s="15" t="inlineStr">
        <is>
          <t>Idea</t>
        </is>
      </c>
      <c r="R469" s="48">
        <f>INDEX('Start Here'!$B$10:$B$16,WEEKDAY(C469,2))</f>
        <v/>
      </c>
      <c r="S469" s="48">
        <f>MOD(R469+'Start Here'!$B$6/24,1)</f>
        <v/>
      </c>
      <c r="T469" s="15" t="n"/>
      <c r="U469" s="15" t="n"/>
      <c r="V469" s="15" t="n"/>
      <c r="W469" s="15" t="n"/>
      <c r="X469" s="20" t="n"/>
      <c r="Y469" s="15" t="n"/>
    </row>
    <row r="470">
      <c r="A470" s="15" t="n">
        <v>469</v>
      </c>
      <c r="B470" s="16">
        <f>INT((A470-1)/7)+1</f>
        <v/>
      </c>
      <c r="C470" s="47">
        <f>'Start Here'!$B$5+A470-1</f>
        <v/>
      </c>
      <c r="D470" s="16">
        <f>TEXT(C470,"ddd")</f>
        <v/>
      </c>
      <c r="E470" s="15" t="inlineStr">
        <is>
          <t>Song Sunday</t>
        </is>
      </c>
      <c r="F470" s="26" t="inlineStr">
        <is>
          <t>🎵 Educational Songs</t>
        </is>
      </c>
      <c r="G470" s="15" t="n">
        <v>67</v>
      </c>
      <c r="H470" s="15" t="inlineStr">
        <is>
          <t>Stars Song</t>
        </is>
      </c>
      <c r="I470" s="15" t="inlineStr">
        <is>
          <t>Stars Song 🎵 | Kids Songs | Tiny Sparks</t>
        </is>
      </c>
      <c r="J470" s="15" t="inlineStr">
        <is>
          <t>3–5</t>
        </is>
      </c>
      <c r="K470" s="15" t="inlineStr">
        <is>
          <t>Long 16:9 + Short cut</t>
        </is>
      </c>
      <c r="L470" s="15" t="inlineStr">
        <is>
          <t>2–3 min (Short: 45 s chorus)</t>
        </is>
      </c>
      <c r="M470" s="15" t="inlineStr">
        <is>
          <t>Mila sings, all dance</t>
        </is>
      </c>
      <c r="N470" s="15" t="inlineStr">
        <is>
          <t>Sing &amp; learn: Stars</t>
        </is>
      </c>
      <c r="O470" s="15" t="inlineStr">
        <is>
          <t>Yes</t>
        </is>
      </c>
      <c r="P470" s="15" t="inlineStr">
        <is>
          <t>P3</t>
        </is>
      </c>
      <c r="Q470" s="15" t="inlineStr">
        <is>
          <t>Idea</t>
        </is>
      </c>
      <c r="R470" s="48">
        <f>INDEX('Start Here'!$B$10:$B$16,WEEKDAY(C470,2))</f>
        <v/>
      </c>
      <c r="S470" s="48">
        <f>MOD(R470+'Start Here'!$B$6/24,1)</f>
        <v/>
      </c>
      <c r="T470" s="15" t="n"/>
      <c r="U470" s="15" t="n"/>
      <c r="V470" s="15" t="n"/>
      <c r="W470" s="15" t="n"/>
      <c r="X470" s="20" t="n"/>
      <c r="Y470" s="15" t="n"/>
    </row>
    <row r="471">
      <c r="A471" s="15" t="n">
        <v>470</v>
      </c>
      <c r="B471" s="16">
        <f>INT((A471-1)/7)+1</f>
        <v/>
      </c>
      <c r="C471" s="47">
        <f>'Start Here'!$B$5+A471-1</f>
        <v/>
      </c>
      <c r="D471" s="16">
        <f>TEXT(C471,"ddd")</f>
        <v/>
      </c>
      <c r="E471" s="15" t="inlineStr">
        <is>
          <t>Story Monday</t>
        </is>
      </c>
      <c r="F471" s="27" t="inlineStr">
        <is>
          <t>📚 Moral Stories</t>
        </is>
      </c>
      <c r="G471" s="15" t="n">
        <v>34</v>
      </c>
      <c r="H471" s="15" t="inlineStr">
        <is>
          <t>The Elephant Who Learned Humility</t>
        </is>
      </c>
      <c r="I471" s="15" t="inlineStr">
        <is>
          <t>The Elephant Who Learned Humility 📚 | Moral Stories for Kids | Tiny Sparks</t>
        </is>
      </c>
      <c r="J471" s="15" t="inlineStr">
        <is>
          <t>3–5</t>
        </is>
      </c>
      <c r="K471" s="15" t="inlineStr">
        <is>
          <t>Long 16:9 + Short teaser</t>
        </is>
      </c>
      <c r="L471" s="15" t="inlineStr">
        <is>
          <t>3–5 min (Short: 50 s)</t>
        </is>
      </c>
      <c r="M471" s="15" t="inlineStr">
        <is>
          <t>narrator + guest animals / Mila &amp; Leo</t>
        </is>
      </c>
      <c r="N471" s="15" t="inlineStr">
        <is>
          <t>Value: humility</t>
        </is>
      </c>
      <c r="O471" s="15" t="inlineStr">
        <is>
          <t>Build first: elephant</t>
        </is>
      </c>
      <c r="P471" s="15" t="inlineStr">
        <is>
          <t>P3</t>
        </is>
      </c>
      <c r="Q471" s="15" t="inlineStr">
        <is>
          <t>Idea</t>
        </is>
      </c>
      <c r="R471" s="48">
        <f>INDEX('Start Here'!$B$10:$B$16,WEEKDAY(C471,2))</f>
        <v/>
      </c>
      <c r="S471" s="48">
        <f>MOD(R471+'Start Here'!$B$6/24,1)</f>
        <v/>
      </c>
      <c r="T471" s="15" t="n"/>
      <c r="U471" s="15" t="n"/>
      <c r="V471" s="15" t="n"/>
      <c r="W471" s="15" t="n"/>
      <c r="X471" s="20" t="n"/>
      <c r="Y471" s="15" t="n"/>
    </row>
    <row r="472">
      <c r="A472" s="15" t="n">
        <v>471</v>
      </c>
      <c r="B472" s="16">
        <f>INT((A472-1)/7)+1</f>
        <v/>
      </c>
      <c r="C472" s="47">
        <f>'Start Here'!$B$5+A472-1</f>
        <v/>
      </c>
      <c r="D472" s="16">
        <f>TEXT(C472,"ddd")</f>
        <v/>
      </c>
      <c r="E472" s="15" t="inlineStr">
        <is>
          <t>Math Tuesday</t>
        </is>
      </c>
      <c r="F472" s="21" t="inlineStr">
        <is>
          <t>🔢 Numbers &amp; Math</t>
        </is>
      </c>
      <c r="G472" s="15" t="n">
        <v>68</v>
      </c>
      <c r="H472" s="15" t="inlineStr">
        <is>
          <t>Near vs Far</t>
        </is>
      </c>
      <c r="I472" s="15" t="inlineStr">
        <is>
          <t>Near vs Far 🔢 | Learn Math for Kids | Tiny Sparks</t>
        </is>
      </c>
      <c r="J472" s="15" t="inlineStr">
        <is>
          <t>3–5</t>
        </is>
      </c>
      <c r="K472" s="15" t="inlineStr">
        <is>
          <t>Short 9:16</t>
        </is>
      </c>
      <c r="L472" s="15" t="inlineStr">
        <is>
          <t>45–60 s</t>
        </is>
      </c>
      <c r="M472" s="15" t="inlineStr">
        <is>
          <t>Bobo + Mila (counting fingers)</t>
        </is>
      </c>
      <c r="N472" s="15" t="inlineStr">
        <is>
          <t>Math: Near vs Far</t>
        </is>
      </c>
      <c r="O472" s="15" t="inlineStr">
        <is>
          <t>Yes</t>
        </is>
      </c>
      <c r="P472" s="15" t="inlineStr">
        <is>
          <t>P3</t>
        </is>
      </c>
      <c r="Q472" s="15" t="inlineStr">
        <is>
          <t>Idea</t>
        </is>
      </c>
      <c r="R472" s="48">
        <f>INDEX('Start Here'!$B$10:$B$16,WEEKDAY(C472,2))</f>
        <v/>
      </c>
      <c r="S472" s="48">
        <f>MOD(R472+'Start Here'!$B$6/24,1)</f>
        <v/>
      </c>
      <c r="T472" s="15" t="n"/>
      <c r="U472" s="15" t="n"/>
      <c r="V472" s="15" t="n"/>
      <c r="W472" s="15" t="n"/>
      <c r="X472" s="20" t="n"/>
      <c r="Y472" s="15" t="n"/>
    </row>
    <row r="473">
      <c r="A473" s="15" t="n">
        <v>472</v>
      </c>
      <c r="B473" s="16">
        <f>INT((A473-1)/7)+1</f>
        <v/>
      </c>
      <c r="C473" s="47">
        <f>'Start Here'!$B$5+A473-1</f>
        <v/>
      </c>
      <c r="D473" s="16">
        <f>TEXT(C473,"ddd")</f>
        <v/>
      </c>
      <c r="E473" s="15" t="inlineStr">
        <is>
          <t>Word Wednesday</t>
        </is>
      </c>
      <c r="F473" s="22" t="inlineStr">
        <is>
          <t>🔤 English/French Words</t>
        </is>
      </c>
      <c r="G473" s="15" t="n">
        <v>68</v>
      </c>
      <c r="H473" s="15" t="inlineStr">
        <is>
          <t>F Is for Fish / Poisson</t>
        </is>
      </c>
      <c r="I473" s="15" t="inlineStr">
        <is>
          <t>F Is for Fish / Poisson 🔤 | Kids Vocabulary | Tiny Sparks</t>
        </is>
      </c>
      <c r="J473" s="15" t="inlineStr">
        <is>
          <t>3–5</t>
        </is>
      </c>
      <c r="K473" s="15" t="inlineStr">
        <is>
          <t>Short 9:16</t>
        </is>
      </c>
      <c r="L473" s="15" t="inlineStr">
        <is>
          <t>45–60 s</t>
        </is>
      </c>
      <c r="M473" s="15" t="inlineStr">
        <is>
          <t>Mila + French narrator</t>
        </is>
      </c>
      <c r="N473" s="15" t="inlineStr">
        <is>
          <t>Vocabulary EN→FR: F Is for Fish / Poisson</t>
        </is>
      </c>
      <c r="O473" s="15" t="inlineStr">
        <is>
          <t>Build first: fish</t>
        </is>
      </c>
      <c r="P473" s="15" t="inlineStr">
        <is>
          <t>P3</t>
        </is>
      </c>
      <c r="Q473" s="15" t="inlineStr">
        <is>
          <t>Idea</t>
        </is>
      </c>
      <c r="R473" s="48">
        <f>INDEX('Start Here'!$B$10:$B$16,WEEKDAY(C473,2))</f>
        <v/>
      </c>
      <c r="S473" s="48">
        <f>MOD(R473+'Start Here'!$B$6/24,1)</f>
        <v/>
      </c>
      <c r="T473" s="15" t="n"/>
      <c r="U473" s="15" t="n"/>
      <c r="V473" s="15" t="n"/>
      <c r="W473" s="15" t="n"/>
      <c r="X473" s="20" t="n"/>
      <c r="Y473" s="15" t="n"/>
    </row>
    <row r="474">
      <c r="A474" s="15" t="n">
        <v>473</v>
      </c>
      <c r="B474" s="16">
        <f>INT((A474-1)/7)+1</f>
        <v/>
      </c>
      <c r="C474" s="47">
        <f>'Start Here'!$B$5+A474-1</f>
        <v/>
      </c>
      <c r="D474" s="16">
        <f>TEXT(C474,"ddd")</f>
        <v/>
      </c>
      <c r="E474" s="15" t="inlineStr">
        <is>
          <t>Animal Thursday</t>
        </is>
      </c>
      <c r="F474" s="23" t="inlineStr">
        <is>
          <t>🦁 Animal Stories</t>
        </is>
      </c>
      <c r="G474" s="15" t="n">
        <v>68</v>
      </c>
      <c r="H474" s="15" t="inlineStr">
        <is>
          <t>Great Animal Race</t>
        </is>
      </c>
      <c r="I474" s="15" t="inlineStr">
        <is>
          <t>Great Animal Race 🦁 | Animal Stories for Kids | Tiny Sparks</t>
        </is>
      </c>
      <c r="J474" s="15" t="inlineStr">
        <is>
          <t>3–5</t>
        </is>
      </c>
      <c r="K474" s="15" t="inlineStr">
        <is>
          <t>Long 16:9 + Short teaser</t>
        </is>
      </c>
      <c r="L474" s="15" t="inlineStr">
        <is>
          <t>3–5 min (Short: 50 s)</t>
        </is>
      </c>
      <c r="M474" s="15" t="inlineStr">
        <is>
          <t>guest animal(s) + Bobo</t>
        </is>
      </c>
      <c r="N474" s="15" t="inlineStr">
        <is>
          <t>Story + 3 true animal facts; value: friendship over winning</t>
        </is>
      </c>
      <c r="O474" s="15" t="inlineStr">
        <is>
          <t>Yes</t>
        </is>
      </c>
      <c r="P474" s="15" t="inlineStr">
        <is>
          <t>P3</t>
        </is>
      </c>
      <c r="Q474" s="15" t="inlineStr">
        <is>
          <t>Idea</t>
        </is>
      </c>
      <c r="R474" s="48">
        <f>INDEX('Start Here'!$B$10:$B$16,WEEKDAY(C474,2))</f>
        <v/>
      </c>
      <c r="S474" s="48">
        <f>MOD(R474+'Start Here'!$B$6/24,1)</f>
        <v/>
      </c>
      <c r="T474" s="15" t="n"/>
      <c r="U474" s="15" t="n"/>
      <c r="V474" s="15" t="n"/>
      <c r="W474" s="15" t="n"/>
      <c r="X474" s="20" t="n"/>
      <c r="Y474" s="15" t="n"/>
    </row>
    <row r="475">
      <c r="A475" s="15" t="n">
        <v>474</v>
      </c>
      <c r="B475" s="16">
        <f>INT((A475-1)/7)+1</f>
        <v/>
      </c>
      <c r="C475" s="47">
        <f>'Start Here'!$B$5+A475-1</f>
        <v/>
      </c>
      <c r="D475" s="16">
        <f>TEXT(C475,"ddd")</f>
        <v/>
      </c>
      <c r="E475" s="15" t="inlineStr">
        <is>
          <t>Science Friday</t>
        </is>
      </c>
      <c r="F475" s="24" t="inlineStr">
        <is>
          <t>🚀 Science for Kids</t>
        </is>
      </c>
      <c r="G475" s="15" t="n">
        <v>68</v>
      </c>
      <c r="H475" s="15" t="inlineStr">
        <is>
          <t>Meet Saturn</t>
        </is>
      </c>
      <c r="I475" s="15" t="inlineStr">
        <is>
          <t>Meet Saturn 🚀 | Science for Kids | Tiny Sparks</t>
        </is>
      </c>
      <c r="J475" s="15" t="inlineStr">
        <is>
          <t>6–8</t>
        </is>
      </c>
      <c r="K475" s="15" t="inlineStr">
        <is>
          <t>Short 9:16</t>
        </is>
      </c>
      <c r="L475" s="15" t="inlineStr">
        <is>
          <t>45–60 s</t>
        </is>
      </c>
      <c r="M475" s="15" t="inlineStr">
        <is>
          <t>Prof. Hoot + Leo (wrong guess) + Mila</t>
        </is>
      </c>
      <c r="N475" s="15" t="inlineStr">
        <is>
          <t>Answer simply: Meet Saturn</t>
        </is>
      </c>
      <c r="O475" s="15" t="inlineStr">
        <is>
          <t>Yes</t>
        </is>
      </c>
      <c r="P475" s="15" t="inlineStr">
        <is>
          <t>P3</t>
        </is>
      </c>
      <c r="Q475" s="15" t="inlineStr">
        <is>
          <t>Idea</t>
        </is>
      </c>
      <c r="R475" s="48">
        <f>INDEX('Start Here'!$B$10:$B$16,WEEKDAY(C475,2))</f>
        <v/>
      </c>
      <c r="S475" s="48">
        <f>MOD(R475+'Start Here'!$B$6/24,1)</f>
        <v/>
      </c>
      <c r="T475" s="15" t="n"/>
      <c r="U475" s="15" t="n"/>
      <c r="V475" s="15" t="n"/>
      <c r="W475" s="15" t="n"/>
      <c r="X475" s="20" t="n"/>
      <c r="Y475" s="15" t="n"/>
    </row>
    <row r="476">
      <c r="A476" s="15" t="n">
        <v>475</v>
      </c>
      <c r="B476" s="16">
        <f>INT((A476-1)/7)+1</f>
        <v/>
      </c>
      <c r="C476" s="47">
        <f>'Start Here'!$B$5+A476-1</f>
        <v/>
      </c>
      <c r="D476" s="16">
        <f>TEXT(C476,"ddd")</f>
        <v/>
      </c>
      <c r="E476" s="15" t="inlineStr">
        <is>
          <t>Puzzle Saturday</t>
        </is>
      </c>
      <c r="F476" s="25" t="inlineStr">
        <is>
          <t>🧩 Puzzles &amp; Problem-Solving</t>
        </is>
      </c>
      <c r="G476" s="15" t="n">
        <v>68</v>
      </c>
      <c r="H476" s="15" t="inlineStr">
        <is>
          <t>Memory Challenge: Jungle</t>
        </is>
      </c>
      <c r="I476" s="15" t="inlineStr">
        <is>
          <t>Memory Challenge: Jungle 🧩 | Brain Games for Kids | Tiny Sparks</t>
        </is>
      </c>
      <c r="J476" s="15" t="inlineStr">
        <is>
          <t>6–8</t>
        </is>
      </c>
      <c r="K476" s="15" t="inlineStr">
        <is>
          <t>Long 16:9</t>
        </is>
      </c>
      <c r="L476" s="15" t="inlineStr">
        <is>
          <t>4–8 min</t>
        </is>
      </c>
      <c r="M476" s="15" t="inlineStr">
        <is>
          <t>Prof. Hoot + Leo + score strip</t>
        </is>
      </c>
      <c r="N476" s="15" t="inlineStr">
        <is>
          <t>Thinking skill: memory</t>
        </is>
      </c>
      <c r="O476" s="15" t="inlineStr">
        <is>
          <t>Build first: jungle</t>
        </is>
      </c>
      <c r="P476" s="15" t="inlineStr">
        <is>
          <t>P3</t>
        </is>
      </c>
      <c r="Q476" s="15" t="inlineStr">
        <is>
          <t>Idea</t>
        </is>
      </c>
      <c r="R476" s="48">
        <f>INDEX('Start Here'!$B$10:$B$16,WEEKDAY(C476,2))</f>
        <v/>
      </c>
      <c r="S476" s="48">
        <f>MOD(R476+'Start Here'!$B$6/24,1)</f>
        <v/>
      </c>
      <c r="T476" s="15" t="n"/>
      <c r="U476" s="15" t="n"/>
      <c r="V476" s="15" t="n"/>
      <c r="W476" s="15" t="n"/>
      <c r="X476" s="20" t="n"/>
      <c r="Y476" s="15" t="n"/>
    </row>
    <row r="477">
      <c r="A477" s="15" t="n">
        <v>476</v>
      </c>
      <c r="B477" s="16">
        <f>INT((A477-1)/7)+1</f>
        <v/>
      </c>
      <c r="C477" s="47">
        <f>'Start Here'!$B$5+A477-1</f>
        <v/>
      </c>
      <c r="D477" s="16">
        <f>TEXT(C477,"ddd")</f>
        <v/>
      </c>
      <c r="E477" s="15" t="inlineStr">
        <is>
          <t>Song Sunday</t>
        </is>
      </c>
      <c r="F477" s="26" t="inlineStr">
        <is>
          <t>🎵 Educational Songs</t>
        </is>
      </c>
      <c r="G477" s="15" t="n">
        <v>68</v>
      </c>
      <c r="H477" s="15" t="inlineStr">
        <is>
          <t>Weather Song</t>
        </is>
      </c>
      <c r="I477" s="15" t="inlineStr">
        <is>
          <t>Weather Song 🎵 | Kids Songs | Tiny Sparks</t>
        </is>
      </c>
      <c r="J477" s="15" t="inlineStr">
        <is>
          <t>3–5</t>
        </is>
      </c>
      <c r="K477" s="15" t="inlineStr">
        <is>
          <t>Long 16:9 + Short cut</t>
        </is>
      </c>
      <c r="L477" s="15" t="inlineStr">
        <is>
          <t>2–3 min (Short: 45 s chorus)</t>
        </is>
      </c>
      <c r="M477" s="15" t="inlineStr">
        <is>
          <t>Mila sings, all dance</t>
        </is>
      </c>
      <c r="N477" s="15" t="inlineStr">
        <is>
          <t>Sing &amp; learn: Weather</t>
        </is>
      </c>
      <c r="O477" s="15" t="inlineStr">
        <is>
          <t>Yes</t>
        </is>
      </c>
      <c r="P477" s="15" t="inlineStr">
        <is>
          <t>P3</t>
        </is>
      </c>
      <c r="Q477" s="15" t="inlineStr">
        <is>
          <t>Idea</t>
        </is>
      </c>
      <c r="R477" s="48">
        <f>INDEX('Start Here'!$B$10:$B$16,WEEKDAY(C477,2))</f>
        <v/>
      </c>
      <c r="S477" s="48">
        <f>MOD(R477+'Start Here'!$B$6/24,1)</f>
        <v/>
      </c>
      <c r="T477" s="15" t="n"/>
      <c r="U477" s="15" t="n"/>
      <c r="V477" s="15" t="n"/>
      <c r="W477" s="15" t="n"/>
      <c r="X477" s="20" t="n"/>
      <c r="Y477" s="15" t="n"/>
    </row>
    <row r="478">
      <c r="A478" s="15" t="n">
        <v>477</v>
      </c>
      <c r="B478" s="16">
        <f>INT((A478-1)/7)+1</f>
        <v/>
      </c>
      <c r="C478" s="47">
        <f>'Start Here'!$B$5+A478-1</f>
        <v/>
      </c>
      <c r="D478" s="16">
        <f>TEXT(C478,"ddd")</f>
        <v/>
      </c>
      <c r="E478" s="15" t="inlineStr">
        <is>
          <t>Story Monday</t>
        </is>
      </c>
      <c r="F478" s="18" t="inlineStr">
        <is>
          <t>🧠 Educational Stories</t>
        </is>
      </c>
      <c r="G478" s="15" t="n">
        <v>35</v>
      </c>
      <c r="H478" s="15" t="inlineStr">
        <is>
          <t>Max Learns to Control His Anger</t>
        </is>
      </c>
      <c r="I478" s="15" t="inlineStr">
        <is>
          <t>Leo Learns to Control His Anger 🧠 | Kids Stories | Tiny Sparks</t>
        </is>
      </c>
      <c r="J478" s="15" t="inlineStr">
        <is>
          <t>3–5</t>
        </is>
      </c>
      <c r="K478" s="15" t="inlineStr">
        <is>
          <t>Long 16:9 + Short teaser</t>
        </is>
      </c>
      <c r="L478" s="15" t="inlineStr">
        <is>
          <t>3–5 min (Short: 50 s)</t>
        </is>
      </c>
      <c r="M478" s="15" t="inlineStr">
        <is>
          <t>Leo (lead) · Mila, Leo, Bobo + narrator</t>
        </is>
      </c>
      <c r="N478" s="15" t="inlineStr">
        <is>
          <t>Life skill: Control His Anger</t>
        </is>
      </c>
      <c r="O478" s="15" t="inlineStr">
        <is>
          <t>Yes</t>
        </is>
      </c>
      <c r="P478" s="15" t="inlineStr">
        <is>
          <t>P3</t>
        </is>
      </c>
      <c r="Q478" s="15" t="inlineStr">
        <is>
          <t>Idea</t>
        </is>
      </c>
      <c r="R478" s="48">
        <f>INDEX('Start Here'!$B$10:$B$16,WEEKDAY(C478,2))</f>
        <v/>
      </c>
      <c r="S478" s="48">
        <f>MOD(R478+'Start Here'!$B$6/24,1)</f>
        <v/>
      </c>
      <c r="T478" s="15" t="n"/>
      <c r="U478" s="15" t="n"/>
      <c r="V478" s="15" t="n"/>
      <c r="W478" s="15" t="n"/>
      <c r="X478" s="20" t="n"/>
      <c r="Y478" s="15" t="n"/>
    </row>
    <row r="479">
      <c r="A479" s="15" t="n">
        <v>478</v>
      </c>
      <c r="B479" s="16">
        <f>INT((A479-1)/7)+1</f>
        <v/>
      </c>
      <c r="C479" s="47">
        <f>'Start Here'!$B$5+A479-1</f>
        <v/>
      </c>
      <c r="D479" s="16">
        <f>TEXT(C479,"ddd")</f>
        <v/>
      </c>
      <c r="E479" s="15" t="inlineStr">
        <is>
          <t>Math Tuesday</t>
        </is>
      </c>
      <c r="F479" s="21" t="inlineStr">
        <is>
          <t>🔢 Numbers &amp; Math</t>
        </is>
      </c>
      <c r="G479" s="15" t="n">
        <v>69</v>
      </c>
      <c r="H479" s="15" t="inlineStr">
        <is>
          <t>Above vs Below</t>
        </is>
      </c>
      <c r="I479" s="15" t="inlineStr">
        <is>
          <t>Above vs Below 🔢 | Learn Math for Kids | Tiny Sparks</t>
        </is>
      </c>
      <c r="J479" s="15" t="inlineStr">
        <is>
          <t>3–5</t>
        </is>
      </c>
      <c r="K479" s="15" t="inlineStr">
        <is>
          <t>Short 9:16</t>
        </is>
      </c>
      <c r="L479" s="15" t="inlineStr">
        <is>
          <t>45–60 s</t>
        </is>
      </c>
      <c r="M479" s="15" t="inlineStr">
        <is>
          <t>Bobo + Mila (counting fingers)</t>
        </is>
      </c>
      <c r="N479" s="15" t="inlineStr">
        <is>
          <t>Math: Above vs Below</t>
        </is>
      </c>
      <c r="O479" s="15" t="inlineStr">
        <is>
          <t>Yes</t>
        </is>
      </c>
      <c r="P479" s="15" t="inlineStr">
        <is>
          <t>P3</t>
        </is>
      </c>
      <c r="Q479" s="15" t="inlineStr">
        <is>
          <t>Idea</t>
        </is>
      </c>
      <c r="R479" s="48">
        <f>INDEX('Start Here'!$B$10:$B$16,WEEKDAY(C479,2))</f>
        <v/>
      </c>
      <c r="S479" s="48">
        <f>MOD(R479+'Start Here'!$B$6/24,1)</f>
        <v/>
      </c>
      <c r="T479" s="15" t="n"/>
      <c r="U479" s="15" t="n"/>
      <c r="V479" s="15" t="n"/>
      <c r="W479" s="15" t="n"/>
      <c r="X479" s="20" t="n"/>
      <c r="Y479" s="15" t="n"/>
    </row>
    <row r="480">
      <c r="A480" s="15" t="n">
        <v>479</v>
      </c>
      <c r="B480" s="16">
        <f>INT((A480-1)/7)+1</f>
        <v/>
      </c>
      <c r="C480" s="47">
        <f>'Start Here'!$B$5+A480-1</f>
        <v/>
      </c>
      <c r="D480" s="16">
        <f>TEXT(C480,"ddd")</f>
        <v/>
      </c>
      <c r="E480" s="15" t="inlineStr">
        <is>
          <t>Word Wednesday</t>
        </is>
      </c>
      <c r="F480" s="22" t="inlineStr">
        <is>
          <t>🔤 English/French Words</t>
        </is>
      </c>
      <c r="G480" s="15" t="n">
        <v>69</v>
      </c>
      <c r="H480" s="15" t="inlineStr">
        <is>
          <t>G Is for Goat / Chèvre</t>
        </is>
      </c>
      <c r="I480" s="15" t="inlineStr">
        <is>
          <t>G Is for Goat / Chèvre 🔤 | Kids Vocabulary | Tiny Sparks</t>
        </is>
      </c>
      <c r="J480" s="15" t="inlineStr">
        <is>
          <t>3–5</t>
        </is>
      </c>
      <c r="K480" s="15" t="inlineStr">
        <is>
          <t>Short 9:16</t>
        </is>
      </c>
      <c r="L480" s="15" t="inlineStr">
        <is>
          <t>45–60 s</t>
        </is>
      </c>
      <c r="M480" s="15" t="inlineStr">
        <is>
          <t>Mila + French narrator</t>
        </is>
      </c>
      <c r="N480" s="15" t="inlineStr">
        <is>
          <t>Vocabulary EN→FR: G Is for Goat / Chèvre</t>
        </is>
      </c>
      <c r="O480" s="15" t="inlineStr">
        <is>
          <t>Build first: goat</t>
        </is>
      </c>
      <c r="P480" s="15" t="inlineStr">
        <is>
          <t>P3</t>
        </is>
      </c>
      <c r="Q480" s="15" t="inlineStr">
        <is>
          <t>Idea</t>
        </is>
      </c>
      <c r="R480" s="48">
        <f>INDEX('Start Here'!$B$10:$B$16,WEEKDAY(C480,2))</f>
        <v/>
      </c>
      <c r="S480" s="48">
        <f>MOD(R480+'Start Here'!$B$6/24,1)</f>
        <v/>
      </c>
      <c r="T480" s="15" t="n"/>
      <c r="U480" s="15" t="n"/>
      <c r="V480" s="15" t="n"/>
      <c r="W480" s="15" t="n"/>
      <c r="X480" s="20" t="n"/>
      <c r="Y480" s="15" t="n"/>
    </row>
    <row r="481">
      <c r="A481" s="15" t="n">
        <v>480</v>
      </c>
      <c r="B481" s="16">
        <f>INT((A481-1)/7)+1</f>
        <v/>
      </c>
      <c r="C481" s="47">
        <f>'Start Here'!$B$5+A481-1</f>
        <v/>
      </c>
      <c r="D481" s="16">
        <f>TEXT(C481,"ddd")</f>
        <v/>
      </c>
      <c r="E481" s="15" t="inlineStr">
        <is>
          <t>Animal Thursday</t>
        </is>
      </c>
      <c r="F481" s="23" t="inlineStr">
        <is>
          <t>🦁 Animal Stories</t>
        </is>
      </c>
      <c r="G481" s="15" t="n">
        <v>69</v>
      </c>
      <c r="H481" s="15" t="inlineStr">
        <is>
          <t>Jungle Detective Mystery</t>
        </is>
      </c>
      <c r="I481" s="15" t="inlineStr">
        <is>
          <t>Jungle Detective Mystery 🦁 | Animal Stories for Kids | Tiny Sparks</t>
        </is>
      </c>
      <c r="J481" s="15" t="inlineStr">
        <is>
          <t>6–8</t>
        </is>
      </c>
      <c r="K481" s="15" t="inlineStr">
        <is>
          <t>Long 16:9 + Short teaser</t>
        </is>
      </c>
      <c r="L481" s="15" t="inlineStr">
        <is>
          <t>3–5 min (Short: 50 s)</t>
        </is>
      </c>
      <c r="M481" s="15" t="inlineStr">
        <is>
          <t>guest animal(s) + Bobo</t>
        </is>
      </c>
      <c r="N481" s="15" t="inlineStr">
        <is>
          <t>Story + 3 true animal facts; value: friendship</t>
        </is>
      </c>
      <c r="O481" s="15" t="inlineStr">
        <is>
          <t>Build first: jungle</t>
        </is>
      </c>
      <c r="P481" s="15" t="inlineStr">
        <is>
          <t>P3</t>
        </is>
      </c>
      <c r="Q481" s="15" t="inlineStr">
        <is>
          <t>Idea</t>
        </is>
      </c>
      <c r="R481" s="48">
        <f>INDEX('Start Here'!$B$10:$B$16,WEEKDAY(C481,2))</f>
        <v/>
      </c>
      <c r="S481" s="48">
        <f>MOD(R481+'Start Here'!$B$6/24,1)</f>
        <v/>
      </c>
      <c r="T481" s="15" t="n"/>
      <c r="U481" s="15" t="n"/>
      <c r="V481" s="15" t="n"/>
      <c r="W481" s="15" t="n"/>
      <c r="X481" s="20" t="n"/>
      <c r="Y481" s="15" t="n"/>
    </row>
    <row r="482">
      <c r="A482" s="15" t="n">
        <v>481</v>
      </c>
      <c r="B482" s="16">
        <f>INT((A482-1)/7)+1</f>
        <v/>
      </c>
      <c r="C482" s="47">
        <f>'Start Here'!$B$5+A482-1</f>
        <v/>
      </c>
      <c r="D482" s="16">
        <f>TEXT(C482,"ddd")</f>
        <v/>
      </c>
      <c r="E482" s="15" t="inlineStr">
        <is>
          <t>Science Friday</t>
        </is>
      </c>
      <c r="F482" s="24" t="inlineStr">
        <is>
          <t>🚀 Science for Kids</t>
        </is>
      </c>
      <c r="G482" s="15" t="n">
        <v>69</v>
      </c>
      <c r="H482" s="15" t="inlineStr">
        <is>
          <t>Meet Uranus</t>
        </is>
      </c>
      <c r="I482" s="15" t="inlineStr">
        <is>
          <t>Meet Uranus 🚀 | Science for Kids | Tiny Sparks</t>
        </is>
      </c>
      <c r="J482" s="15" t="inlineStr">
        <is>
          <t>6–8</t>
        </is>
      </c>
      <c r="K482" s="15" t="inlineStr">
        <is>
          <t>Short 9:16</t>
        </is>
      </c>
      <c r="L482" s="15" t="inlineStr">
        <is>
          <t>45–60 s</t>
        </is>
      </c>
      <c r="M482" s="15" t="inlineStr">
        <is>
          <t>Prof. Hoot + Leo (wrong guess) + Mila</t>
        </is>
      </c>
      <c r="N482" s="15" t="inlineStr">
        <is>
          <t>Answer simply: Meet Uranus</t>
        </is>
      </c>
      <c r="O482" s="15" t="inlineStr">
        <is>
          <t>Yes</t>
        </is>
      </c>
      <c r="P482" s="15" t="inlineStr">
        <is>
          <t>P3</t>
        </is>
      </c>
      <c r="Q482" s="15" t="inlineStr">
        <is>
          <t>Idea</t>
        </is>
      </c>
      <c r="R482" s="48">
        <f>INDEX('Start Here'!$B$10:$B$16,WEEKDAY(C482,2))</f>
        <v/>
      </c>
      <c r="S482" s="48">
        <f>MOD(R482+'Start Here'!$B$6/24,1)</f>
        <v/>
      </c>
      <c r="T482" s="15" t="n"/>
      <c r="U482" s="15" t="n"/>
      <c r="V482" s="15" t="n"/>
      <c r="W482" s="15" t="n"/>
      <c r="X482" s="20" t="n"/>
      <c r="Y482" s="15" t="n"/>
    </row>
    <row r="483">
      <c r="A483" s="15" t="n">
        <v>482</v>
      </c>
      <c r="B483" s="16">
        <f>INT((A483-1)/7)+1</f>
        <v/>
      </c>
      <c r="C483" s="47">
        <f>'Start Here'!$B$5+A483-1</f>
        <v/>
      </c>
      <c r="D483" s="16">
        <f>TEXT(C483,"ddd")</f>
        <v/>
      </c>
      <c r="E483" s="15" t="inlineStr">
        <is>
          <t>Puzzle Saturday</t>
        </is>
      </c>
      <c r="F483" s="25" t="inlineStr">
        <is>
          <t>🧩 Puzzles &amp; Problem-Solving</t>
        </is>
      </c>
      <c r="G483" s="15" t="n">
        <v>69</v>
      </c>
      <c r="H483" s="15" t="inlineStr">
        <is>
          <t>Memory Challenge: Ocean</t>
        </is>
      </c>
      <c r="I483" s="15" t="inlineStr">
        <is>
          <t>Memory Challenge: Ocean 🧩 | Brain Games for Kids | Tiny Sparks</t>
        </is>
      </c>
      <c r="J483" s="15" t="inlineStr">
        <is>
          <t>6–8</t>
        </is>
      </c>
      <c r="K483" s="15" t="inlineStr">
        <is>
          <t>Long 16:9</t>
        </is>
      </c>
      <c r="L483" s="15" t="inlineStr">
        <is>
          <t>4–8 min</t>
        </is>
      </c>
      <c r="M483" s="15" t="inlineStr">
        <is>
          <t>Prof. Hoot + Leo + score strip</t>
        </is>
      </c>
      <c r="N483" s="15" t="inlineStr">
        <is>
          <t>Thinking skill: memory</t>
        </is>
      </c>
      <c r="O483" s="15" t="inlineStr">
        <is>
          <t>Yes</t>
        </is>
      </c>
      <c r="P483" s="15" t="inlineStr">
        <is>
          <t>P3</t>
        </is>
      </c>
      <c r="Q483" s="15" t="inlineStr">
        <is>
          <t>Idea</t>
        </is>
      </c>
      <c r="R483" s="48">
        <f>INDEX('Start Here'!$B$10:$B$16,WEEKDAY(C483,2))</f>
        <v/>
      </c>
      <c r="S483" s="48">
        <f>MOD(R483+'Start Here'!$B$6/24,1)</f>
        <v/>
      </c>
      <c r="T483" s="15" t="n"/>
      <c r="U483" s="15" t="n"/>
      <c r="V483" s="15" t="n"/>
      <c r="W483" s="15" t="n"/>
      <c r="X483" s="20" t="n"/>
      <c r="Y483" s="15" t="n"/>
    </row>
    <row r="484">
      <c r="A484" s="15" t="n">
        <v>483</v>
      </c>
      <c r="B484" s="16">
        <f>INT((A484-1)/7)+1</f>
        <v/>
      </c>
      <c r="C484" s="47">
        <f>'Start Here'!$B$5+A484-1</f>
        <v/>
      </c>
      <c r="D484" s="16">
        <f>TEXT(C484,"ddd")</f>
        <v/>
      </c>
      <c r="E484" s="15" t="inlineStr">
        <is>
          <t>Song Sunday</t>
        </is>
      </c>
      <c r="F484" s="26" t="inlineStr">
        <is>
          <t>🎵 Educational Songs</t>
        </is>
      </c>
      <c r="G484" s="15" t="n">
        <v>69</v>
      </c>
      <c r="H484" s="15" t="inlineStr">
        <is>
          <t>Rain Song</t>
        </is>
      </c>
      <c r="I484" s="15" t="inlineStr">
        <is>
          <t>Rain Song 🎵 | Kids Songs | Tiny Sparks</t>
        </is>
      </c>
      <c r="J484" s="15" t="inlineStr">
        <is>
          <t>3–5</t>
        </is>
      </c>
      <c r="K484" s="15" t="inlineStr">
        <is>
          <t>Long 16:9 + Short cut</t>
        </is>
      </c>
      <c r="L484" s="15" t="inlineStr">
        <is>
          <t>2–3 min (Short: 45 s chorus)</t>
        </is>
      </c>
      <c r="M484" s="15" t="inlineStr">
        <is>
          <t>Mila sings, all dance</t>
        </is>
      </c>
      <c r="N484" s="15" t="inlineStr">
        <is>
          <t>Sing &amp; learn: Rain</t>
        </is>
      </c>
      <c r="O484" s="15" t="inlineStr">
        <is>
          <t>Yes</t>
        </is>
      </c>
      <c r="P484" s="15" t="inlineStr">
        <is>
          <t>P3</t>
        </is>
      </c>
      <c r="Q484" s="15" t="inlineStr">
        <is>
          <t>Idea</t>
        </is>
      </c>
      <c r="R484" s="48">
        <f>INDEX('Start Here'!$B$10:$B$16,WEEKDAY(C484,2))</f>
        <v/>
      </c>
      <c r="S484" s="48">
        <f>MOD(R484+'Start Here'!$B$6/24,1)</f>
        <v/>
      </c>
      <c r="T484" s="15" t="n"/>
      <c r="U484" s="15" t="n"/>
      <c r="V484" s="15" t="n"/>
      <c r="W484" s="15" t="n"/>
      <c r="X484" s="20" t="n"/>
      <c r="Y484" s="15" t="n"/>
    </row>
    <row r="485">
      <c r="A485" s="15" t="n">
        <v>484</v>
      </c>
      <c r="B485" s="16">
        <f>INT((A485-1)/7)+1</f>
        <v/>
      </c>
      <c r="C485" s="47">
        <f>'Start Here'!$B$5+A485-1</f>
        <v/>
      </c>
      <c r="D485" s="16">
        <f>TEXT(C485,"ddd")</f>
        <v/>
      </c>
      <c r="E485" s="15" t="inlineStr">
        <is>
          <t>Story Monday</t>
        </is>
      </c>
      <c r="F485" s="27" t="inlineStr">
        <is>
          <t>📚 Moral Stories</t>
        </is>
      </c>
      <c r="G485" s="15" t="n">
        <v>35</v>
      </c>
      <c r="H485" s="15" t="inlineStr">
        <is>
          <t>The Peacock Who Wanted Everyone's Attention</t>
        </is>
      </c>
      <c r="I485" s="15" t="inlineStr">
        <is>
          <t>The Peacock Who Wanted Everyone's Attention 📚 | Moral Stories for Kids | Tiny Sparks</t>
        </is>
      </c>
      <c r="J485" s="15" t="inlineStr">
        <is>
          <t>3–5</t>
        </is>
      </c>
      <c r="K485" s="15" t="inlineStr">
        <is>
          <t>Long 16:9 + Short teaser</t>
        </is>
      </c>
      <c r="L485" s="15" t="inlineStr">
        <is>
          <t>3–5 min (Short: 50 s)</t>
        </is>
      </c>
      <c r="M485" s="15" t="inlineStr">
        <is>
          <t>narrator + guest animals / Mila &amp; Leo</t>
        </is>
      </c>
      <c r="N485" s="15" t="inlineStr">
        <is>
          <t>Value: humility</t>
        </is>
      </c>
      <c r="O485" s="15" t="inlineStr">
        <is>
          <t>Build first: peacock</t>
        </is>
      </c>
      <c r="P485" s="15" t="inlineStr">
        <is>
          <t>P3</t>
        </is>
      </c>
      <c r="Q485" s="15" t="inlineStr">
        <is>
          <t>Idea</t>
        </is>
      </c>
      <c r="R485" s="48">
        <f>INDEX('Start Here'!$B$10:$B$16,WEEKDAY(C485,2))</f>
        <v/>
      </c>
      <c r="S485" s="48">
        <f>MOD(R485+'Start Here'!$B$6/24,1)</f>
        <v/>
      </c>
      <c r="T485" s="15" t="n"/>
      <c r="U485" s="15" t="n"/>
      <c r="V485" s="15" t="n"/>
      <c r="W485" s="15" t="n"/>
      <c r="X485" s="20" t="n"/>
      <c r="Y485" s="15" t="n"/>
    </row>
    <row r="486">
      <c r="A486" s="15" t="n">
        <v>485</v>
      </c>
      <c r="B486" s="16">
        <f>INT((A486-1)/7)+1</f>
        <v/>
      </c>
      <c r="C486" s="47">
        <f>'Start Here'!$B$5+A486-1</f>
        <v/>
      </c>
      <c r="D486" s="16">
        <f>TEXT(C486,"ddd")</f>
        <v/>
      </c>
      <c r="E486" s="15" t="inlineStr">
        <is>
          <t>Math Tuesday</t>
        </is>
      </c>
      <c r="F486" s="21" t="inlineStr">
        <is>
          <t>🔢 Numbers &amp; Math</t>
        </is>
      </c>
      <c r="G486" s="15" t="n">
        <v>70</v>
      </c>
      <c r="H486" s="15" t="inlineStr">
        <is>
          <t>Left vs Right</t>
        </is>
      </c>
      <c r="I486" s="15" t="inlineStr">
        <is>
          <t>Left vs Right 🔢 | Learn Math for Kids | Tiny Sparks</t>
        </is>
      </c>
      <c r="J486" s="15" t="inlineStr">
        <is>
          <t>3–5</t>
        </is>
      </c>
      <c r="K486" s="15" t="inlineStr">
        <is>
          <t>Short 9:16</t>
        </is>
      </c>
      <c r="L486" s="15" t="inlineStr">
        <is>
          <t>45–60 s</t>
        </is>
      </c>
      <c r="M486" s="15" t="inlineStr">
        <is>
          <t>Bobo + Mila (counting fingers)</t>
        </is>
      </c>
      <c r="N486" s="15" t="inlineStr">
        <is>
          <t>Math: Left vs Right</t>
        </is>
      </c>
      <c r="O486" s="15" t="inlineStr">
        <is>
          <t>Yes</t>
        </is>
      </c>
      <c r="P486" s="15" t="inlineStr">
        <is>
          <t>P3</t>
        </is>
      </c>
      <c r="Q486" s="15" t="inlineStr">
        <is>
          <t>Idea</t>
        </is>
      </c>
      <c r="R486" s="48">
        <f>INDEX('Start Here'!$B$10:$B$16,WEEKDAY(C486,2))</f>
        <v/>
      </c>
      <c r="S486" s="48">
        <f>MOD(R486+'Start Here'!$B$6/24,1)</f>
        <v/>
      </c>
      <c r="T486" s="15" t="n"/>
      <c r="U486" s="15" t="n"/>
      <c r="V486" s="15" t="n"/>
      <c r="W486" s="15" t="n"/>
      <c r="X486" s="20" t="n"/>
      <c r="Y486" s="15" t="n"/>
    </row>
    <row r="487">
      <c r="A487" s="15" t="n">
        <v>486</v>
      </c>
      <c r="B487" s="16">
        <f>INT((A487-1)/7)+1</f>
        <v/>
      </c>
      <c r="C487" s="47">
        <f>'Start Here'!$B$5+A487-1</f>
        <v/>
      </c>
      <c r="D487" s="16">
        <f>TEXT(C487,"ddd")</f>
        <v/>
      </c>
      <c r="E487" s="15" t="inlineStr">
        <is>
          <t>Word Wednesday</t>
        </is>
      </c>
      <c r="F487" s="22" t="inlineStr">
        <is>
          <t>🔤 English/French Words</t>
        </is>
      </c>
      <c r="G487" s="15" t="n">
        <v>70</v>
      </c>
      <c r="H487" s="15" t="inlineStr">
        <is>
          <t>H Is for Horse / Cheval</t>
        </is>
      </c>
      <c r="I487" s="15" t="inlineStr">
        <is>
          <t>H Is for Horse / Cheval 🔤 | Kids Vocabulary | Tiny Sparks</t>
        </is>
      </c>
      <c r="J487" s="15" t="inlineStr">
        <is>
          <t>3–5</t>
        </is>
      </c>
      <c r="K487" s="15" t="inlineStr">
        <is>
          <t>Short 9:16</t>
        </is>
      </c>
      <c r="L487" s="15" t="inlineStr">
        <is>
          <t>45–60 s</t>
        </is>
      </c>
      <c r="M487" s="15" t="inlineStr">
        <is>
          <t>Mila + French narrator</t>
        </is>
      </c>
      <c r="N487" s="15" t="inlineStr">
        <is>
          <t>Vocabulary EN→FR: H Is for Horse / Cheval</t>
        </is>
      </c>
      <c r="O487" s="15" t="inlineStr">
        <is>
          <t>Build first: horse</t>
        </is>
      </c>
      <c r="P487" s="15" t="inlineStr">
        <is>
          <t>P3</t>
        </is>
      </c>
      <c r="Q487" s="15" t="inlineStr">
        <is>
          <t>Idea</t>
        </is>
      </c>
      <c r="R487" s="48">
        <f>INDEX('Start Here'!$B$10:$B$16,WEEKDAY(C487,2))</f>
        <v/>
      </c>
      <c r="S487" s="48">
        <f>MOD(R487+'Start Here'!$B$6/24,1)</f>
        <v/>
      </c>
      <c r="T487" s="15" t="n"/>
      <c r="U487" s="15" t="n"/>
      <c r="V487" s="15" t="n"/>
      <c r="W487" s="15" t="n"/>
      <c r="X487" s="20" t="n"/>
      <c r="Y487" s="15" t="n"/>
    </row>
    <row r="488">
      <c r="A488" s="15" t="n">
        <v>487</v>
      </c>
      <c r="B488" s="16">
        <f>INT((A488-1)/7)+1</f>
        <v/>
      </c>
      <c r="C488" s="47">
        <f>'Start Here'!$B$5+A488-1</f>
        <v/>
      </c>
      <c r="D488" s="16">
        <f>TEXT(C488,"ddd")</f>
        <v/>
      </c>
      <c r="E488" s="15" t="inlineStr">
        <is>
          <t>Animal Thursday</t>
        </is>
      </c>
      <c r="F488" s="23" t="inlineStr">
        <is>
          <t>🦁 Animal Stories</t>
        </is>
      </c>
      <c r="G488" s="15" t="n">
        <v>70</v>
      </c>
      <c r="H488" s="15" t="inlineStr">
        <is>
          <t>Animal Space Adventure</t>
        </is>
      </c>
      <c r="I488" s="15" t="inlineStr">
        <is>
          <t>Animal Space Adventure 🦁 | Animal Stories for Kids | Tiny Sparks</t>
        </is>
      </c>
      <c r="J488" s="15" t="inlineStr">
        <is>
          <t>6–8</t>
        </is>
      </c>
      <c r="K488" s="15" t="inlineStr">
        <is>
          <t>Long 16:9 + Short teaser</t>
        </is>
      </c>
      <c r="L488" s="15" t="inlineStr">
        <is>
          <t>3–5 min (Short: 50 s)</t>
        </is>
      </c>
      <c r="M488" s="15" t="inlineStr">
        <is>
          <t>guest animal(s) + Bobo</t>
        </is>
      </c>
      <c r="N488" s="15" t="inlineStr">
        <is>
          <t>Story + 3 true animal facts; value: friendship</t>
        </is>
      </c>
      <c r="O488" s="15" t="inlineStr">
        <is>
          <t>Yes</t>
        </is>
      </c>
      <c r="P488" s="15" t="inlineStr">
        <is>
          <t>P3</t>
        </is>
      </c>
      <c r="Q488" s="15" t="inlineStr">
        <is>
          <t>Idea</t>
        </is>
      </c>
      <c r="R488" s="48">
        <f>INDEX('Start Here'!$B$10:$B$16,WEEKDAY(C488,2))</f>
        <v/>
      </c>
      <c r="S488" s="48">
        <f>MOD(R488+'Start Here'!$B$6/24,1)</f>
        <v/>
      </c>
      <c r="T488" s="15" t="n"/>
      <c r="U488" s="15" t="n"/>
      <c r="V488" s="15" t="n"/>
      <c r="W488" s="15" t="n"/>
      <c r="X488" s="20" t="n"/>
      <c r="Y488" s="15" t="n"/>
    </row>
    <row r="489">
      <c r="A489" s="15" t="n">
        <v>488</v>
      </c>
      <c r="B489" s="16">
        <f>INT((A489-1)/7)+1</f>
        <v/>
      </c>
      <c r="C489" s="47">
        <f>'Start Here'!$B$5+A489-1</f>
        <v/>
      </c>
      <c r="D489" s="16">
        <f>TEXT(C489,"ddd")</f>
        <v/>
      </c>
      <c r="E489" s="15" t="inlineStr">
        <is>
          <t>Science Friday</t>
        </is>
      </c>
      <c r="F489" s="24" t="inlineStr">
        <is>
          <t>🚀 Science for Kids</t>
        </is>
      </c>
      <c r="G489" s="15" t="n">
        <v>70</v>
      </c>
      <c r="H489" s="15" t="inlineStr">
        <is>
          <t>Meet Neptune</t>
        </is>
      </c>
      <c r="I489" s="15" t="inlineStr">
        <is>
          <t>Meet Neptune 🚀 | Science for Kids | Tiny Sparks</t>
        </is>
      </c>
      <c r="J489" s="15" t="inlineStr">
        <is>
          <t>6–8</t>
        </is>
      </c>
      <c r="K489" s="15" t="inlineStr">
        <is>
          <t>Short 9:16</t>
        </is>
      </c>
      <c r="L489" s="15" t="inlineStr">
        <is>
          <t>45–60 s</t>
        </is>
      </c>
      <c r="M489" s="15" t="inlineStr">
        <is>
          <t>Prof. Hoot + Leo (wrong guess) + Mila</t>
        </is>
      </c>
      <c r="N489" s="15" t="inlineStr">
        <is>
          <t>Answer simply: Meet Neptune</t>
        </is>
      </c>
      <c r="O489" s="15" t="inlineStr">
        <is>
          <t>Yes</t>
        </is>
      </c>
      <c r="P489" s="15" t="inlineStr">
        <is>
          <t>P3</t>
        </is>
      </c>
      <c r="Q489" s="15" t="inlineStr">
        <is>
          <t>Idea</t>
        </is>
      </c>
      <c r="R489" s="48">
        <f>INDEX('Start Here'!$B$10:$B$16,WEEKDAY(C489,2))</f>
        <v/>
      </c>
      <c r="S489" s="48">
        <f>MOD(R489+'Start Here'!$B$6/24,1)</f>
        <v/>
      </c>
      <c r="T489" s="15" t="n"/>
      <c r="U489" s="15" t="n"/>
      <c r="V489" s="15" t="n"/>
      <c r="W489" s="15" t="n"/>
      <c r="X489" s="20" t="n"/>
      <c r="Y489" s="15" t="n"/>
    </row>
    <row r="490">
      <c r="A490" s="15" t="n">
        <v>489</v>
      </c>
      <c r="B490" s="16">
        <f>INT((A490-1)/7)+1</f>
        <v/>
      </c>
      <c r="C490" s="47">
        <f>'Start Here'!$B$5+A490-1</f>
        <v/>
      </c>
      <c r="D490" s="16">
        <f>TEXT(C490,"ddd")</f>
        <v/>
      </c>
      <c r="E490" s="15" t="inlineStr">
        <is>
          <t>Puzzle Saturday</t>
        </is>
      </c>
      <c r="F490" s="25" t="inlineStr">
        <is>
          <t>🧩 Puzzles &amp; Problem-Solving</t>
        </is>
      </c>
      <c r="G490" s="15" t="n">
        <v>70</v>
      </c>
      <c r="H490" s="15" t="inlineStr">
        <is>
          <t>Memory Challenge: Space</t>
        </is>
      </c>
      <c r="I490" s="15" t="inlineStr">
        <is>
          <t>Memory Challenge: Space 🧩 | Brain Games for Kids | Tiny Sparks</t>
        </is>
      </c>
      <c r="J490" s="15" t="inlineStr">
        <is>
          <t>6–8</t>
        </is>
      </c>
      <c r="K490" s="15" t="inlineStr">
        <is>
          <t>Long 16:9</t>
        </is>
      </c>
      <c r="L490" s="15" t="inlineStr">
        <is>
          <t>4–8 min</t>
        </is>
      </c>
      <c r="M490" s="15" t="inlineStr">
        <is>
          <t>Prof. Hoot + Leo + score strip</t>
        </is>
      </c>
      <c r="N490" s="15" t="inlineStr">
        <is>
          <t>Thinking skill: memory</t>
        </is>
      </c>
      <c r="O490" s="15" t="inlineStr">
        <is>
          <t>Yes</t>
        </is>
      </c>
      <c r="P490" s="15" t="inlineStr">
        <is>
          <t>P3</t>
        </is>
      </c>
      <c r="Q490" s="15" t="inlineStr">
        <is>
          <t>Idea</t>
        </is>
      </c>
      <c r="R490" s="48">
        <f>INDEX('Start Here'!$B$10:$B$16,WEEKDAY(C490,2))</f>
        <v/>
      </c>
      <c r="S490" s="48">
        <f>MOD(R490+'Start Here'!$B$6/24,1)</f>
        <v/>
      </c>
      <c r="T490" s="15" t="n"/>
      <c r="U490" s="15" t="n"/>
      <c r="V490" s="15" t="n"/>
      <c r="W490" s="15" t="n"/>
      <c r="X490" s="20" t="n"/>
      <c r="Y490" s="15" t="n"/>
    </row>
    <row r="491">
      <c r="A491" s="15" t="n">
        <v>490</v>
      </c>
      <c r="B491" s="16">
        <f>INT((A491-1)/7)+1</f>
        <v/>
      </c>
      <c r="C491" s="47">
        <f>'Start Here'!$B$5+A491-1</f>
        <v/>
      </c>
      <c r="D491" s="16">
        <f>TEXT(C491,"ddd")</f>
        <v/>
      </c>
      <c r="E491" s="15" t="inlineStr">
        <is>
          <t>Song Sunday</t>
        </is>
      </c>
      <c r="F491" s="26" t="inlineStr">
        <is>
          <t>🎵 Educational Songs</t>
        </is>
      </c>
      <c r="G491" s="15" t="n">
        <v>70</v>
      </c>
      <c r="H491" s="15" t="inlineStr">
        <is>
          <t>Rainbow Song</t>
        </is>
      </c>
      <c r="I491" s="15" t="inlineStr">
        <is>
          <t>Rainbow Song 🎵 | Kids Songs | Tiny Sparks</t>
        </is>
      </c>
      <c r="J491" s="15" t="inlineStr">
        <is>
          <t>3–5</t>
        </is>
      </c>
      <c r="K491" s="15" t="inlineStr">
        <is>
          <t>Long 16:9 + Short cut</t>
        </is>
      </c>
      <c r="L491" s="15" t="inlineStr">
        <is>
          <t>2–3 min (Short: 45 s chorus)</t>
        </is>
      </c>
      <c r="M491" s="15" t="inlineStr">
        <is>
          <t>Mila sings, all dance</t>
        </is>
      </c>
      <c r="N491" s="15" t="inlineStr">
        <is>
          <t>Sing &amp; learn: Rainbow</t>
        </is>
      </c>
      <c r="O491" s="15" t="inlineStr">
        <is>
          <t>Yes</t>
        </is>
      </c>
      <c r="P491" s="15" t="inlineStr">
        <is>
          <t>P3</t>
        </is>
      </c>
      <c r="Q491" s="15" t="inlineStr">
        <is>
          <t>Idea</t>
        </is>
      </c>
      <c r="R491" s="48">
        <f>INDEX('Start Here'!$B$10:$B$16,WEEKDAY(C491,2))</f>
        <v/>
      </c>
      <c r="S491" s="48">
        <f>MOD(R491+'Start Here'!$B$6/24,1)</f>
        <v/>
      </c>
      <c r="T491" s="15" t="n"/>
      <c r="U491" s="15" t="n"/>
      <c r="V491" s="15" t="n"/>
      <c r="W491" s="15" t="n"/>
      <c r="X491" s="20" t="n"/>
      <c r="Y491" s="15" t="n"/>
    </row>
    <row r="492">
      <c r="A492" s="15" t="n">
        <v>491</v>
      </c>
      <c r="B492" s="16">
        <f>INT((A492-1)/7)+1</f>
        <v/>
      </c>
      <c r="C492" s="47">
        <f>'Start Here'!$B$5+A492-1</f>
        <v/>
      </c>
      <c r="D492" s="16">
        <f>TEXT(C492,"ddd")</f>
        <v/>
      </c>
      <c r="E492" s="15" t="inlineStr">
        <is>
          <t>Story Monday</t>
        </is>
      </c>
      <c r="F492" s="18" t="inlineStr">
        <is>
          <t>🧠 Educational Stories</t>
        </is>
      </c>
      <c r="G492" s="15" t="n">
        <v>36</v>
      </c>
      <c r="H492" s="15" t="inlineStr">
        <is>
          <t>The Helpful Neighbor</t>
        </is>
      </c>
      <c r="I492" s="15" t="inlineStr">
        <is>
          <t>The Helpful Neighbor 🧠 | Kids Stories | Tiny Sparks</t>
        </is>
      </c>
      <c r="J492" s="15" t="inlineStr">
        <is>
          <t>3–5</t>
        </is>
      </c>
      <c r="K492" s="15" t="inlineStr">
        <is>
          <t>Long 16:9 + Short teaser</t>
        </is>
      </c>
      <c r="L492" s="15" t="inlineStr">
        <is>
          <t>3–5 min (Short: 50 s)</t>
        </is>
      </c>
      <c r="M492" s="15" t="inlineStr">
        <is>
          <t>Mila, Leo, Bobo + narrator</t>
        </is>
      </c>
      <c r="N492" s="15" t="inlineStr">
        <is>
          <t>Life skill: helping others</t>
        </is>
      </c>
      <c r="O492" s="15" t="inlineStr">
        <is>
          <t>Yes</t>
        </is>
      </c>
      <c r="P492" s="15" t="inlineStr">
        <is>
          <t>P3</t>
        </is>
      </c>
      <c r="Q492" s="15" t="inlineStr">
        <is>
          <t>Idea</t>
        </is>
      </c>
      <c r="R492" s="48">
        <f>INDEX('Start Here'!$B$10:$B$16,WEEKDAY(C492,2))</f>
        <v/>
      </c>
      <c r="S492" s="48">
        <f>MOD(R492+'Start Here'!$B$6/24,1)</f>
        <v/>
      </c>
      <c r="T492" s="15" t="n"/>
      <c r="U492" s="15" t="n"/>
      <c r="V492" s="15" t="n"/>
      <c r="W492" s="15" t="n"/>
      <c r="X492" s="20" t="n"/>
      <c r="Y492" s="15" t="n"/>
    </row>
    <row r="493">
      <c r="A493" s="15" t="n">
        <v>492</v>
      </c>
      <c r="B493" s="16">
        <f>INT((A493-1)/7)+1</f>
        <v/>
      </c>
      <c r="C493" s="47">
        <f>'Start Here'!$B$5+A493-1</f>
        <v/>
      </c>
      <c r="D493" s="16">
        <f>TEXT(C493,"ddd")</f>
        <v/>
      </c>
      <c r="E493" s="15" t="inlineStr">
        <is>
          <t>Math Tuesday</t>
        </is>
      </c>
      <c r="F493" s="21" t="inlineStr">
        <is>
          <t>🔢 Numbers &amp; Math</t>
        </is>
      </c>
      <c r="G493" s="15" t="n">
        <v>71</v>
      </c>
      <c r="H493" s="15" t="inlineStr">
        <is>
          <t>Learn Patterns</t>
        </is>
      </c>
      <c r="I493" s="15" t="inlineStr">
        <is>
          <t>Learn Patterns 🔢 | Learn Math for Kids | Tiny Sparks</t>
        </is>
      </c>
      <c r="J493" s="15" t="inlineStr">
        <is>
          <t>6–8</t>
        </is>
      </c>
      <c r="K493" s="15" t="inlineStr">
        <is>
          <t>Short 9:16</t>
        </is>
      </c>
      <c r="L493" s="15" t="inlineStr">
        <is>
          <t>45–60 s</t>
        </is>
      </c>
      <c r="M493" s="15" t="inlineStr">
        <is>
          <t>Bobo + Mila (counting fingers)</t>
        </is>
      </c>
      <c r="N493" s="15" t="inlineStr">
        <is>
          <t>Math: Learn Patterns</t>
        </is>
      </c>
      <c r="O493" s="15" t="inlineStr">
        <is>
          <t>Yes</t>
        </is>
      </c>
      <c r="P493" s="15" t="inlineStr">
        <is>
          <t>P3</t>
        </is>
      </c>
      <c r="Q493" s="15" t="inlineStr">
        <is>
          <t>Idea</t>
        </is>
      </c>
      <c r="R493" s="48">
        <f>INDEX('Start Here'!$B$10:$B$16,WEEKDAY(C493,2))</f>
        <v/>
      </c>
      <c r="S493" s="48">
        <f>MOD(R493+'Start Here'!$B$6/24,1)</f>
        <v/>
      </c>
      <c r="T493" s="15" t="n"/>
      <c r="U493" s="15" t="n"/>
      <c r="V493" s="15" t="n"/>
      <c r="W493" s="15" t="n"/>
      <c r="X493" s="20" t="n"/>
      <c r="Y493" s="15" t="n"/>
    </row>
    <row r="494">
      <c r="A494" s="15" t="n">
        <v>493</v>
      </c>
      <c r="B494" s="16">
        <f>INT((A494-1)/7)+1</f>
        <v/>
      </c>
      <c r="C494" s="47">
        <f>'Start Here'!$B$5+A494-1</f>
        <v/>
      </c>
      <c r="D494" s="16">
        <f>TEXT(C494,"ddd")</f>
        <v/>
      </c>
      <c r="E494" s="15" t="inlineStr">
        <is>
          <t>Word Wednesday</t>
        </is>
      </c>
      <c r="F494" s="22" t="inlineStr">
        <is>
          <t>🔤 English/French Words</t>
        </is>
      </c>
      <c r="G494" s="15" t="n">
        <v>71</v>
      </c>
      <c r="H494" s="15" t="inlineStr">
        <is>
          <t>I Is for Ice Cream</t>
        </is>
      </c>
      <c r="I494" s="15" t="inlineStr">
        <is>
          <t>I Is for Ice Cream 🔤 | Kids Vocabulary | Tiny Sparks</t>
        </is>
      </c>
      <c r="J494" s="15" t="inlineStr">
        <is>
          <t>3–5</t>
        </is>
      </c>
      <c r="K494" s="15" t="inlineStr">
        <is>
          <t>Short 9:16</t>
        </is>
      </c>
      <c r="L494" s="15" t="inlineStr">
        <is>
          <t>45–60 s</t>
        </is>
      </c>
      <c r="M494" s="15" t="inlineStr">
        <is>
          <t>Mila + French narrator</t>
        </is>
      </c>
      <c r="N494" s="15" t="inlineStr">
        <is>
          <t>Vocabulary EN→FR: I Is for Ice Cream</t>
        </is>
      </c>
      <c r="O494" s="15" t="inlineStr">
        <is>
          <t>Yes</t>
        </is>
      </c>
      <c r="P494" s="15" t="inlineStr">
        <is>
          <t>P3</t>
        </is>
      </c>
      <c r="Q494" s="15" t="inlineStr">
        <is>
          <t>Idea</t>
        </is>
      </c>
      <c r="R494" s="48">
        <f>INDEX('Start Here'!$B$10:$B$16,WEEKDAY(C494,2))</f>
        <v/>
      </c>
      <c r="S494" s="48">
        <f>MOD(R494+'Start Here'!$B$6/24,1)</f>
        <v/>
      </c>
      <c r="T494" s="15" t="n"/>
      <c r="U494" s="15" t="n"/>
      <c r="V494" s="15" t="n"/>
      <c r="W494" s="15" t="n"/>
      <c r="X494" s="20" t="n"/>
      <c r="Y494" s="15" t="n"/>
    </row>
    <row r="495">
      <c r="A495" s="15" t="n">
        <v>494</v>
      </c>
      <c r="B495" s="16">
        <f>INT((A495-1)/7)+1</f>
        <v/>
      </c>
      <c r="C495" s="47">
        <f>'Start Here'!$B$5+A495-1</f>
        <v/>
      </c>
      <c r="D495" s="16">
        <f>TEXT(C495,"ddd")</f>
        <v/>
      </c>
      <c r="E495" s="15" t="inlineStr">
        <is>
          <t>Animal Thursday</t>
        </is>
      </c>
      <c r="F495" s="23" t="inlineStr">
        <is>
          <t>🦁 Animal Stories</t>
        </is>
      </c>
      <c r="G495" s="15" t="n">
        <v>71</v>
      </c>
      <c r="H495" s="15" t="inlineStr">
        <is>
          <t>Animals Build a Treehouse</t>
        </is>
      </c>
      <c r="I495" s="15" t="inlineStr">
        <is>
          <t>Animals Build a Treehouse 🦁 | Animal Stories for Kids | Tiny Sparks</t>
        </is>
      </c>
      <c r="J495" s="15" t="inlineStr">
        <is>
          <t>3–5</t>
        </is>
      </c>
      <c r="K495" s="15" t="inlineStr">
        <is>
          <t>Long 16:9 + Short teaser</t>
        </is>
      </c>
      <c r="L495" s="15" t="inlineStr">
        <is>
          <t>3–5 min (Short: 50 s)</t>
        </is>
      </c>
      <c r="M495" s="15" t="inlineStr">
        <is>
          <t>guest animal(s) + Bobo</t>
        </is>
      </c>
      <c r="N495" s="15" t="inlineStr">
        <is>
          <t>Story + 3 true animal facts; value: caring for the planet</t>
        </is>
      </c>
      <c r="O495" s="15" t="inlineStr">
        <is>
          <t>Yes</t>
        </is>
      </c>
      <c r="P495" s="15" t="inlineStr">
        <is>
          <t>P3</t>
        </is>
      </c>
      <c r="Q495" s="15" t="inlineStr">
        <is>
          <t>Idea</t>
        </is>
      </c>
      <c r="R495" s="48">
        <f>INDEX('Start Here'!$B$10:$B$16,WEEKDAY(C495,2))</f>
        <v/>
      </c>
      <c r="S495" s="48">
        <f>MOD(R495+'Start Here'!$B$6/24,1)</f>
        <v/>
      </c>
      <c r="T495" s="15" t="n"/>
      <c r="U495" s="15" t="n"/>
      <c r="V495" s="15" t="n"/>
      <c r="W495" s="15" t="n"/>
      <c r="X495" s="20" t="n"/>
      <c r="Y495" s="15" t="n"/>
    </row>
    <row r="496">
      <c r="A496" s="15" t="n">
        <v>495</v>
      </c>
      <c r="B496" s="16">
        <f>INT((A496-1)/7)+1</f>
        <v/>
      </c>
      <c r="C496" s="47">
        <f>'Start Here'!$B$5+A496-1</f>
        <v/>
      </c>
      <c r="D496" s="16">
        <f>TEXT(C496,"ddd")</f>
        <v/>
      </c>
      <c r="E496" s="15" t="inlineStr">
        <is>
          <t>Science Friday</t>
        </is>
      </c>
      <c r="F496" s="24" t="inlineStr">
        <is>
          <t>🚀 Science for Kids</t>
        </is>
      </c>
      <c r="G496" s="15" t="n">
        <v>71</v>
      </c>
      <c r="H496" s="15" t="inlineStr">
        <is>
          <t>Why Does the Moon Have Craters?</t>
        </is>
      </c>
      <c r="I496" s="15" t="inlineStr">
        <is>
          <t>Why Does the Moon Have Craters? 🚀 | Science for Kids | Tiny Sparks</t>
        </is>
      </c>
      <c r="J496" s="15" t="inlineStr">
        <is>
          <t>3–5</t>
        </is>
      </c>
      <c r="K496" s="15" t="inlineStr">
        <is>
          <t>Short 9:16</t>
        </is>
      </c>
      <c r="L496" s="15" t="inlineStr">
        <is>
          <t>45–60 s</t>
        </is>
      </c>
      <c r="M496" s="15" t="inlineStr">
        <is>
          <t>Prof. Hoot + Leo (wrong guess) + Mila</t>
        </is>
      </c>
      <c r="N496" s="15" t="inlineStr">
        <is>
          <t>Answer simply: Why Does the Moon Have Craters?</t>
        </is>
      </c>
      <c r="O496" s="15" t="inlineStr">
        <is>
          <t>Yes</t>
        </is>
      </c>
      <c r="P496" s="15" t="inlineStr">
        <is>
          <t>P3</t>
        </is>
      </c>
      <c r="Q496" s="15" t="inlineStr">
        <is>
          <t>Idea</t>
        </is>
      </c>
      <c r="R496" s="48">
        <f>INDEX('Start Here'!$B$10:$B$16,WEEKDAY(C496,2))</f>
        <v/>
      </c>
      <c r="S496" s="48">
        <f>MOD(R496+'Start Here'!$B$6/24,1)</f>
        <v/>
      </c>
      <c r="T496" s="15" t="n"/>
      <c r="U496" s="15" t="n"/>
      <c r="V496" s="15" t="n"/>
      <c r="W496" s="15" t="n"/>
      <c r="X496" s="20" t="n"/>
      <c r="Y496" s="15" t="n"/>
    </row>
    <row r="497">
      <c r="A497" s="15" t="n">
        <v>496</v>
      </c>
      <c r="B497" s="16">
        <f>INT((A497-1)/7)+1</f>
        <v/>
      </c>
      <c r="C497" s="47">
        <f>'Start Here'!$B$5+A497-1</f>
        <v/>
      </c>
      <c r="D497" s="16">
        <f>TEXT(C497,"ddd")</f>
        <v/>
      </c>
      <c r="E497" s="15" t="inlineStr">
        <is>
          <t>Puzzle Saturday</t>
        </is>
      </c>
      <c r="F497" s="25" t="inlineStr">
        <is>
          <t>🧩 Puzzles &amp; Problem-Solving</t>
        </is>
      </c>
      <c r="G497" s="15" t="n">
        <v>71</v>
      </c>
      <c r="H497" s="15" t="inlineStr">
        <is>
          <t>Which Path Is Correct?</t>
        </is>
      </c>
      <c r="I497" s="15" t="inlineStr">
        <is>
          <t>Which Path Is Correct? 🧩 | Brain Games for Kids | Tiny Sparks</t>
        </is>
      </c>
      <c r="J497" s="15" t="inlineStr">
        <is>
          <t>3–5</t>
        </is>
      </c>
      <c r="K497" s="15" t="inlineStr">
        <is>
          <t>Short 9:16</t>
        </is>
      </c>
      <c r="L497" s="15" t="inlineStr">
        <is>
          <t>45–60 s</t>
        </is>
      </c>
      <c r="M497" s="15" t="inlineStr">
        <is>
          <t>Prof. Hoot + Leo + score strip</t>
        </is>
      </c>
      <c r="N497" s="15" t="inlineStr">
        <is>
          <t>Thinking skill: spatial thinking</t>
        </is>
      </c>
      <c r="O497" s="15" t="inlineStr">
        <is>
          <t>Yes</t>
        </is>
      </c>
      <c r="P497" s="15" t="inlineStr">
        <is>
          <t>P3</t>
        </is>
      </c>
      <c r="Q497" s="15" t="inlineStr">
        <is>
          <t>Idea</t>
        </is>
      </c>
      <c r="R497" s="48">
        <f>INDEX('Start Here'!$B$10:$B$16,WEEKDAY(C497,2))</f>
        <v/>
      </c>
      <c r="S497" s="48">
        <f>MOD(R497+'Start Here'!$B$6/24,1)</f>
        <v/>
      </c>
      <c r="T497" s="15" t="n"/>
      <c r="U497" s="15" t="n"/>
      <c r="V497" s="15" t="n"/>
      <c r="W497" s="15" t="n"/>
      <c r="X497" s="20" t="n"/>
      <c r="Y497" s="15" t="n"/>
    </row>
    <row r="498">
      <c r="A498" s="15" t="n">
        <v>497</v>
      </c>
      <c r="B498" s="16">
        <f>INT((A498-1)/7)+1</f>
        <v/>
      </c>
      <c r="C498" s="47">
        <f>'Start Here'!$B$5+A498-1</f>
        <v/>
      </c>
      <c r="D498" s="16">
        <f>TEXT(C498,"ddd")</f>
        <v/>
      </c>
      <c r="E498" s="15" t="inlineStr">
        <is>
          <t>Song Sunday</t>
        </is>
      </c>
      <c r="F498" s="26" t="inlineStr">
        <is>
          <t>🎵 Educational Songs</t>
        </is>
      </c>
      <c r="G498" s="15" t="n">
        <v>71</v>
      </c>
      <c r="H498" s="15" t="inlineStr">
        <is>
          <t>Water Cycle Song</t>
        </is>
      </c>
      <c r="I498" s="15" t="inlineStr">
        <is>
          <t>Water Cycle Song 🎵 | Kids Songs | Tiny Sparks</t>
        </is>
      </c>
      <c r="J498" s="15" t="inlineStr">
        <is>
          <t>6–8</t>
        </is>
      </c>
      <c r="K498" s="15" t="inlineStr">
        <is>
          <t>Long 16:9 + Short cut</t>
        </is>
      </c>
      <c r="L498" s="15" t="inlineStr">
        <is>
          <t>2–3 min (Short: 45 s chorus)</t>
        </is>
      </c>
      <c r="M498" s="15" t="inlineStr">
        <is>
          <t>Mila sings, all dance</t>
        </is>
      </c>
      <c r="N498" s="15" t="inlineStr">
        <is>
          <t>Sing &amp; learn: Water Cycle</t>
        </is>
      </c>
      <c r="O498" s="15" t="inlineStr">
        <is>
          <t>Yes</t>
        </is>
      </c>
      <c r="P498" s="15" t="inlineStr">
        <is>
          <t>P3</t>
        </is>
      </c>
      <c r="Q498" s="15" t="inlineStr">
        <is>
          <t>Idea</t>
        </is>
      </c>
      <c r="R498" s="48">
        <f>INDEX('Start Here'!$B$10:$B$16,WEEKDAY(C498,2))</f>
        <v/>
      </c>
      <c r="S498" s="48">
        <f>MOD(R498+'Start Here'!$B$6/24,1)</f>
        <v/>
      </c>
      <c r="T498" s="15" t="n"/>
      <c r="U498" s="15" t="n"/>
      <c r="V498" s="15" t="n"/>
      <c r="W498" s="15" t="n"/>
      <c r="X498" s="20" t="n"/>
      <c r="Y498" s="15" t="n"/>
    </row>
    <row r="499">
      <c r="A499" s="15" t="n">
        <v>498</v>
      </c>
      <c r="B499" s="16">
        <f>INT((A499-1)/7)+1</f>
        <v/>
      </c>
      <c r="C499" s="47">
        <f>'Start Here'!$B$5+A499-1</f>
        <v/>
      </c>
      <c r="D499" s="16">
        <f>TEXT(C499,"ddd")</f>
        <v/>
      </c>
      <c r="E499" s="15" t="inlineStr">
        <is>
          <t>Story Monday</t>
        </is>
      </c>
      <c r="F499" s="27" t="inlineStr">
        <is>
          <t>📚 Moral Stories</t>
        </is>
      </c>
      <c r="G499" s="15" t="n">
        <v>36</v>
      </c>
      <c r="H499" s="15" t="inlineStr">
        <is>
          <t>The Little Mouse Who Helped a Lion</t>
        </is>
      </c>
      <c r="I499" s="15" t="inlineStr">
        <is>
          <t>The Little Mouse Who Helped a Lion 📚 | Moral Stories for Kids | Tiny Sparks</t>
        </is>
      </c>
      <c r="J499" s="15" t="inlineStr">
        <is>
          <t>3–5</t>
        </is>
      </c>
      <c r="K499" s="15" t="inlineStr">
        <is>
          <t>Long 16:9 + Short teaser</t>
        </is>
      </c>
      <c r="L499" s="15" t="inlineStr">
        <is>
          <t>3–5 min (Short: 50 s)</t>
        </is>
      </c>
      <c r="M499" s="15" t="inlineStr">
        <is>
          <t>narrator + guest animals / Mila &amp; Leo</t>
        </is>
      </c>
      <c r="N499" s="15" t="inlineStr">
        <is>
          <t>Value: helping others</t>
        </is>
      </c>
      <c r="O499" s="15" t="inlineStr">
        <is>
          <t>Yes</t>
        </is>
      </c>
      <c r="P499" s="15" t="inlineStr">
        <is>
          <t>P3</t>
        </is>
      </c>
      <c r="Q499" s="15" t="inlineStr">
        <is>
          <t>Idea</t>
        </is>
      </c>
      <c r="R499" s="48">
        <f>INDEX('Start Here'!$B$10:$B$16,WEEKDAY(C499,2))</f>
        <v/>
      </c>
      <c r="S499" s="48">
        <f>MOD(R499+'Start Here'!$B$6/24,1)</f>
        <v/>
      </c>
      <c r="T499" s="15" t="n"/>
      <c r="U499" s="15" t="n"/>
      <c r="V499" s="15" t="n"/>
      <c r="W499" s="15" t="n"/>
      <c r="X499" s="20" t="n"/>
      <c r="Y499" s="15" t="n"/>
    </row>
    <row r="500">
      <c r="A500" s="15" t="n">
        <v>499</v>
      </c>
      <c r="B500" s="16">
        <f>INT((A500-1)/7)+1</f>
        <v/>
      </c>
      <c r="C500" s="47">
        <f>'Start Here'!$B$5+A500-1</f>
        <v/>
      </c>
      <c r="D500" s="16">
        <f>TEXT(C500,"ddd")</f>
        <v/>
      </c>
      <c r="E500" s="15" t="inlineStr">
        <is>
          <t>Math Tuesday</t>
        </is>
      </c>
      <c r="F500" s="21" t="inlineStr">
        <is>
          <t>🔢 Numbers &amp; Math</t>
        </is>
      </c>
      <c r="G500" s="15" t="n">
        <v>72</v>
      </c>
      <c r="H500" s="15" t="inlineStr">
        <is>
          <t>Complete the Color Pattern</t>
        </is>
      </c>
      <c r="I500" s="15" t="inlineStr">
        <is>
          <t>Complete the Color Pattern 🔢 | Learn Math for Kids | Tiny Sparks</t>
        </is>
      </c>
      <c r="J500" s="15" t="inlineStr">
        <is>
          <t>6–8</t>
        </is>
      </c>
      <c r="K500" s="15" t="inlineStr">
        <is>
          <t>Short 9:16</t>
        </is>
      </c>
      <c r="L500" s="15" t="inlineStr">
        <is>
          <t>45–60 s</t>
        </is>
      </c>
      <c r="M500" s="15" t="inlineStr">
        <is>
          <t>Bobo + Mila (counting fingers)</t>
        </is>
      </c>
      <c r="N500" s="15" t="inlineStr">
        <is>
          <t>Math: Complete the Color Pattern</t>
        </is>
      </c>
      <c r="O500" s="15" t="inlineStr">
        <is>
          <t>Yes</t>
        </is>
      </c>
      <c r="P500" s="15" t="inlineStr">
        <is>
          <t>P3</t>
        </is>
      </c>
      <c r="Q500" s="15" t="inlineStr">
        <is>
          <t>Idea</t>
        </is>
      </c>
      <c r="R500" s="48">
        <f>INDEX('Start Here'!$B$10:$B$16,WEEKDAY(C500,2))</f>
        <v/>
      </c>
      <c r="S500" s="48">
        <f>MOD(R500+'Start Here'!$B$6/24,1)</f>
        <v/>
      </c>
      <c r="T500" s="15" t="n"/>
      <c r="U500" s="15" t="n"/>
      <c r="V500" s="15" t="n"/>
      <c r="W500" s="15" t="n"/>
      <c r="X500" s="20" t="n"/>
      <c r="Y500" s="15" t="n"/>
    </row>
    <row r="501">
      <c r="A501" s="15" t="n">
        <v>500</v>
      </c>
      <c r="B501" s="16">
        <f>INT((A501-1)/7)+1</f>
        <v/>
      </c>
      <c r="C501" s="47">
        <f>'Start Here'!$B$5+A501-1</f>
        <v/>
      </c>
      <c r="D501" s="16">
        <f>TEXT(C501,"ddd")</f>
        <v/>
      </c>
      <c r="E501" s="15" t="inlineStr">
        <is>
          <t>Word Wednesday</t>
        </is>
      </c>
      <c r="F501" s="22" t="inlineStr">
        <is>
          <t>🔤 English/French Words</t>
        </is>
      </c>
      <c r="G501" s="15" t="n">
        <v>72</v>
      </c>
      <c r="H501" s="15" t="inlineStr">
        <is>
          <t>J Is for Juice / Jus</t>
        </is>
      </c>
      <c r="I501" s="15" t="inlineStr">
        <is>
          <t>J Is for Juice / Jus 🔤 | Kids Vocabulary | Tiny Sparks</t>
        </is>
      </c>
      <c r="J501" s="15" t="inlineStr">
        <is>
          <t>3–5</t>
        </is>
      </c>
      <c r="K501" s="15" t="inlineStr">
        <is>
          <t>Short 9:16</t>
        </is>
      </c>
      <c r="L501" s="15" t="inlineStr">
        <is>
          <t>45–60 s</t>
        </is>
      </c>
      <c r="M501" s="15" t="inlineStr">
        <is>
          <t>Mila + French narrator</t>
        </is>
      </c>
      <c r="N501" s="15" t="inlineStr">
        <is>
          <t>Vocabulary EN→FR: J Is for Juice / Jus</t>
        </is>
      </c>
      <c r="O501" s="15" t="inlineStr">
        <is>
          <t>Yes</t>
        </is>
      </c>
      <c r="P501" s="15" t="inlineStr">
        <is>
          <t>P3</t>
        </is>
      </c>
      <c r="Q501" s="15" t="inlineStr">
        <is>
          <t>Idea</t>
        </is>
      </c>
      <c r="R501" s="48">
        <f>INDEX('Start Here'!$B$10:$B$16,WEEKDAY(C501,2))</f>
        <v/>
      </c>
      <c r="S501" s="48">
        <f>MOD(R501+'Start Here'!$B$6/24,1)</f>
        <v/>
      </c>
      <c r="T501" s="15" t="n"/>
      <c r="U501" s="15" t="n"/>
      <c r="V501" s="15" t="n"/>
      <c r="W501" s="15" t="n"/>
      <c r="X501" s="20" t="n"/>
      <c r="Y501" s="15" t="n"/>
    </row>
    <row r="502">
      <c r="A502" s="15" t="n">
        <v>501</v>
      </c>
      <c r="B502" s="16">
        <f>INT((A502-1)/7)+1</f>
        <v/>
      </c>
      <c r="C502" s="47">
        <f>'Start Here'!$B$5+A502-1</f>
        <v/>
      </c>
      <c r="D502" s="16">
        <f>TEXT(C502,"ddd")</f>
        <v/>
      </c>
      <c r="E502" s="15" t="inlineStr">
        <is>
          <t>Animal Thursday</t>
        </is>
      </c>
      <c r="F502" s="23" t="inlineStr">
        <is>
          <t>🦁 Animal Stories</t>
        </is>
      </c>
      <c r="G502" s="15" t="n">
        <v>72</v>
      </c>
      <c r="H502" s="15" t="inlineStr">
        <is>
          <t>Animals Build a Bridge</t>
        </is>
      </c>
      <c r="I502" s="15" t="inlineStr">
        <is>
          <t>Animals Build a Bridge 🦁 | Animal Stories for Kids | Tiny Sparks</t>
        </is>
      </c>
      <c r="J502" s="15" t="inlineStr">
        <is>
          <t>6–8</t>
        </is>
      </c>
      <c r="K502" s="15" t="inlineStr">
        <is>
          <t>Long 16:9 + Short teaser</t>
        </is>
      </c>
      <c r="L502" s="15" t="inlineStr">
        <is>
          <t>3–5 min (Short: 50 s)</t>
        </is>
      </c>
      <c r="M502" s="15" t="inlineStr">
        <is>
          <t>guest animal(s) + Bobo</t>
        </is>
      </c>
      <c r="N502" s="15" t="inlineStr">
        <is>
          <t>Story + 3 true animal facts; value: friendship</t>
        </is>
      </c>
      <c r="O502" s="15" t="inlineStr">
        <is>
          <t>Yes</t>
        </is>
      </c>
      <c r="P502" s="15" t="inlineStr">
        <is>
          <t>P3</t>
        </is>
      </c>
      <c r="Q502" s="15" t="inlineStr">
        <is>
          <t>Idea</t>
        </is>
      </c>
      <c r="R502" s="48">
        <f>INDEX('Start Here'!$B$10:$B$16,WEEKDAY(C502,2))</f>
        <v/>
      </c>
      <c r="S502" s="48">
        <f>MOD(R502+'Start Here'!$B$6/24,1)</f>
        <v/>
      </c>
      <c r="T502" s="15" t="n"/>
      <c r="U502" s="15" t="n"/>
      <c r="V502" s="15" t="n"/>
      <c r="W502" s="15" t="n"/>
      <c r="X502" s="20" t="n"/>
      <c r="Y502" s="15" t="n"/>
    </row>
    <row r="503">
      <c r="A503" s="15" t="n">
        <v>502</v>
      </c>
      <c r="B503" s="16">
        <f>INT((A503-1)/7)+1</f>
        <v/>
      </c>
      <c r="C503" s="47">
        <f>'Start Here'!$B$5+A503-1</f>
        <v/>
      </c>
      <c r="D503" s="16">
        <f>TEXT(C503,"ddd")</f>
        <v/>
      </c>
      <c r="E503" s="15" t="inlineStr">
        <is>
          <t>Science Friday</t>
        </is>
      </c>
      <c r="F503" s="24" t="inlineStr">
        <is>
          <t>🚀 Science for Kids</t>
        </is>
      </c>
      <c r="G503" s="15" t="n">
        <v>72</v>
      </c>
      <c r="H503" s="15" t="inlineStr">
        <is>
          <t>What Is a Black Hole?</t>
        </is>
      </c>
      <c r="I503" s="15" t="inlineStr">
        <is>
          <t>What Is a Black Hole? 🚀 | Science for Kids | Tiny Sparks</t>
        </is>
      </c>
      <c r="J503" s="15" t="inlineStr">
        <is>
          <t>9–12</t>
        </is>
      </c>
      <c r="K503" s="15" t="inlineStr">
        <is>
          <t>Short 9:16</t>
        </is>
      </c>
      <c r="L503" s="15" t="inlineStr">
        <is>
          <t>45–60 s</t>
        </is>
      </c>
      <c r="M503" s="15" t="inlineStr">
        <is>
          <t>Prof. Hoot + Leo (wrong guess) + Mila</t>
        </is>
      </c>
      <c r="N503" s="15" t="inlineStr">
        <is>
          <t>Answer simply: What Is a Black Hole?</t>
        </is>
      </c>
      <c r="O503" s="15" t="inlineStr">
        <is>
          <t>Yes</t>
        </is>
      </c>
      <c r="P503" s="15" t="inlineStr">
        <is>
          <t>P3</t>
        </is>
      </c>
      <c r="Q503" s="15" t="inlineStr">
        <is>
          <t>Idea</t>
        </is>
      </c>
      <c r="R503" s="48">
        <f>INDEX('Start Here'!$B$10:$B$16,WEEKDAY(C503,2))</f>
        <v/>
      </c>
      <c r="S503" s="48">
        <f>MOD(R503+'Start Here'!$B$6/24,1)</f>
        <v/>
      </c>
      <c r="T503" s="15" t="n"/>
      <c r="U503" s="15" t="n"/>
      <c r="V503" s="15" t="n"/>
      <c r="W503" s="15" t="n"/>
      <c r="X503" s="20" t="n"/>
      <c r="Y503" s="15" t="n"/>
    </row>
    <row r="504">
      <c r="A504" s="15" t="n">
        <v>503</v>
      </c>
      <c r="B504" s="16">
        <f>INT((A504-1)/7)+1</f>
        <v/>
      </c>
      <c r="C504" s="47">
        <f>'Start Here'!$B$5+A504-1</f>
        <v/>
      </c>
      <c r="D504" s="16">
        <f>TEXT(C504,"ddd")</f>
        <v/>
      </c>
      <c r="E504" s="15" t="inlineStr">
        <is>
          <t>Puzzle Saturday</t>
        </is>
      </c>
      <c r="F504" s="25" t="inlineStr">
        <is>
          <t>🧩 Puzzles &amp; Problem-Solving</t>
        </is>
      </c>
      <c r="G504" s="15" t="n">
        <v>72</v>
      </c>
      <c r="H504" s="15" t="inlineStr">
        <is>
          <t>Choose the Right Door</t>
        </is>
      </c>
      <c r="I504" s="15" t="inlineStr">
        <is>
          <t>Choose the Right Door 🧩 | Brain Games for Kids | Tiny Sparks</t>
        </is>
      </c>
      <c r="J504" s="15" t="inlineStr">
        <is>
          <t>3–5</t>
        </is>
      </c>
      <c r="K504" s="15" t="inlineStr">
        <is>
          <t>Short 9:16</t>
        </is>
      </c>
      <c r="L504" s="15" t="inlineStr">
        <is>
          <t>45–60 s</t>
        </is>
      </c>
      <c r="M504" s="15" t="inlineStr">
        <is>
          <t>Prof. Hoot + Leo + score strip</t>
        </is>
      </c>
      <c r="N504" s="15" t="inlineStr">
        <is>
          <t>Thinking skill: reasoning</t>
        </is>
      </c>
      <c r="O504" s="15" t="inlineStr">
        <is>
          <t>Yes</t>
        </is>
      </c>
      <c r="P504" s="15" t="inlineStr">
        <is>
          <t>P3</t>
        </is>
      </c>
      <c r="Q504" s="15" t="inlineStr">
        <is>
          <t>Idea</t>
        </is>
      </c>
      <c r="R504" s="48">
        <f>INDEX('Start Here'!$B$10:$B$16,WEEKDAY(C504,2))</f>
        <v/>
      </c>
      <c r="S504" s="48">
        <f>MOD(R504+'Start Here'!$B$6/24,1)</f>
        <v/>
      </c>
      <c r="T504" s="15" t="n"/>
      <c r="U504" s="15" t="n"/>
      <c r="V504" s="15" t="n"/>
      <c r="W504" s="15" t="n"/>
      <c r="X504" s="20" t="n"/>
      <c r="Y504" s="15" t="n"/>
    </row>
    <row r="505">
      <c r="A505" s="15" t="n">
        <v>504</v>
      </c>
      <c r="B505" s="16">
        <f>INT((A505-1)/7)+1</f>
        <v/>
      </c>
      <c r="C505" s="47">
        <f>'Start Here'!$B$5+A505-1</f>
        <v/>
      </c>
      <c r="D505" s="16">
        <f>TEXT(C505,"ddd")</f>
        <v/>
      </c>
      <c r="E505" s="15" t="inlineStr">
        <is>
          <t>Song Sunday</t>
        </is>
      </c>
      <c r="F505" s="26" t="inlineStr">
        <is>
          <t>🎵 Educational Songs</t>
        </is>
      </c>
      <c r="G505" s="15" t="n">
        <v>72</v>
      </c>
      <c r="H505" s="15" t="inlineStr">
        <is>
          <t>Plant Life Cycle Song</t>
        </is>
      </c>
      <c r="I505" s="15" t="inlineStr">
        <is>
          <t>Plant Life Cycle Song 🎵 | Kids Songs | Tiny Sparks</t>
        </is>
      </c>
      <c r="J505" s="15" t="inlineStr">
        <is>
          <t>6–8</t>
        </is>
      </c>
      <c r="K505" s="15" t="inlineStr">
        <is>
          <t>Long 16:9 + Short cut</t>
        </is>
      </c>
      <c r="L505" s="15" t="inlineStr">
        <is>
          <t>2–3 min (Short: 45 s chorus)</t>
        </is>
      </c>
      <c r="M505" s="15" t="inlineStr">
        <is>
          <t>Mila sings, all dance</t>
        </is>
      </c>
      <c r="N505" s="15" t="inlineStr">
        <is>
          <t>Sing &amp; learn: Plant Life Cycle</t>
        </is>
      </c>
      <c r="O505" s="15" t="inlineStr">
        <is>
          <t>Yes</t>
        </is>
      </c>
      <c r="P505" s="15" t="inlineStr">
        <is>
          <t>P3</t>
        </is>
      </c>
      <c r="Q505" s="15" t="inlineStr">
        <is>
          <t>Idea</t>
        </is>
      </c>
      <c r="R505" s="48">
        <f>INDEX('Start Here'!$B$10:$B$16,WEEKDAY(C505,2))</f>
        <v/>
      </c>
      <c r="S505" s="48">
        <f>MOD(R505+'Start Here'!$B$6/24,1)</f>
        <v/>
      </c>
      <c r="T505" s="15" t="n"/>
      <c r="U505" s="15" t="n"/>
      <c r="V505" s="15" t="n"/>
      <c r="W505" s="15" t="n"/>
      <c r="X505" s="20" t="n"/>
      <c r="Y505" s="15" t="n"/>
    </row>
    <row r="506">
      <c r="A506" s="15" t="n">
        <v>505</v>
      </c>
      <c r="B506" s="16">
        <f>INT((A506-1)/7)+1</f>
        <v/>
      </c>
      <c r="C506" s="47">
        <f>'Start Here'!$B$5+A506-1</f>
        <v/>
      </c>
      <c r="D506" s="16">
        <f>TEXT(C506,"ddd")</f>
        <v/>
      </c>
      <c r="E506" s="15" t="inlineStr">
        <is>
          <t>Story Monday</t>
        </is>
      </c>
      <c r="F506" s="18" t="inlineStr">
        <is>
          <t>🧠 Educational Stories</t>
        </is>
      </c>
      <c r="G506" s="15" t="n">
        <v>37</v>
      </c>
      <c r="H506" s="15" t="inlineStr">
        <is>
          <t>Benny Learns About Friendship</t>
        </is>
      </c>
      <c r="I506" s="15" t="inlineStr">
        <is>
          <t>Bobo Learns About Friendship 🧠 | Kids Stories | Tiny Sparks</t>
        </is>
      </c>
      <c r="J506" s="15" t="inlineStr">
        <is>
          <t>3–5</t>
        </is>
      </c>
      <c r="K506" s="15" t="inlineStr">
        <is>
          <t>Long 16:9 + Short teaser</t>
        </is>
      </c>
      <c r="L506" s="15" t="inlineStr">
        <is>
          <t>3–5 min (Short: 50 s)</t>
        </is>
      </c>
      <c r="M506" s="15" t="inlineStr">
        <is>
          <t>Bobo (lead) · Mila, Leo, Bobo + narrator</t>
        </is>
      </c>
      <c r="N506" s="15" t="inlineStr">
        <is>
          <t>Life skill: Friendship</t>
        </is>
      </c>
      <c r="O506" s="15" t="inlineStr">
        <is>
          <t>Yes</t>
        </is>
      </c>
      <c r="P506" s="15" t="inlineStr">
        <is>
          <t>P3</t>
        </is>
      </c>
      <c r="Q506" s="15" t="inlineStr">
        <is>
          <t>Idea</t>
        </is>
      </c>
      <c r="R506" s="48">
        <f>INDEX('Start Here'!$B$10:$B$16,WEEKDAY(C506,2))</f>
        <v/>
      </c>
      <c r="S506" s="48">
        <f>MOD(R506+'Start Here'!$B$6/24,1)</f>
        <v/>
      </c>
      <c r="T506" s="15" t="n"/>
      <c r="U506" s="15" t="n"/>
      <c r="V506" s="15" t="n"/>
      <c r="W506" s="15" t="n"/>
      <c r="X506" s="20" t="n"/>
      <c r="Y506" s="15" t="n"/>
    </row>
    <row r="507">
      <c r="A507" s="15" t="n">
        <v>506</v>
      </c>
      <c r="B507" s="16">
        <f>INT((A507-1)/7)+1</f>
        <v/>
      </c>
      <c r="C507" s="47">
        <f>'Start Here'!$B$5+A507-1</f>
        <v/>
      </c>
      <c r="D507" s="16">
        <f>TEXT(C507,"ddd")</f>
        <v/>
      </c>
      <c r="E507" s="15" t="inlineStr">
        <is>
          <t>Math Tuesday</t>
        </is>
      </c>
      <c r="F507" s="21" t="inlineStr">
        <is>
          <t>🔢 Numbers &amp; Math</t>
        </is>
      </c>
      <c r="G507" s="15" t="n">
        <v>73</v>
      </c>
      <c r="H507" s="15" t="inlineStr">
        <is>
          <t>Complete the Shape Pattern</t>
        </is>
      </c>
      <c r="I507" s="15" t="inlineStr">
        <is>
          <t>Complete the Shape Pattern 🔢 | Learn Math for Kids | Tiny Sparks</t>
        </is>
      </c>
      <c r="J507" s="15" t="inlineStr">
        <is>
          <t>6–8</t>
        </is>
      </c>
      <c r="K507" s="15" t="inlineStr">
        <is>
          <t>Short 9:16</t>
        </is>
      </c>
      <c r="L507" s="15" t="inlineStr">
        <is>
          <t>45–60 s</t>
        </is>
      </c>
      <c r="M507" s="15" t="inlineStr">
        <is>
          <t>Bobo + Mila (counting fingers)</t>
        </is>
      </c>
      <c r="N507" s="15" t="inlineStr">
        <is>
          <t>Math: Complete the Shape Pattern</t>
        </is>
      </c>
      <c r="O507" s="15" t="inlineStr">
        <is>
          <t>Yes</t>
        </is>
      </c>
      <c r="P507" s="15" t="inlineStr">
        <is>
          <t>P3</t>
        </is>
      </c>
      <c r="Q507" s="15" t="inlineStr">
        <is>
          <t>Idea</t>
        </is>
      </c>
      <c r="R507" s="48">
        <f>INDEX('Start Here'!$B$10:$B$16,WEEKDAY(C507,2))</f>
        <v/>
      </c>
      <c r="S507" s="48">
        <f>MOD(R507+'Start Here'!$B$6/24,1)</f>
        <v/>
      </c>
      <c r="T507" s="15" t="n"/>
      <c r="U507" s="15" t="n"/>
      <c r="V507" s="15" t="n"/>
      <c r="W507" s="15" t="n"/>
      <c r="X507" s="20" t="n"/>
      <c r="Y507" s="15" t="n"/>
    </row>
    <row r="508">
      <c r="A508" s="15" t="n">
        <v>507</v>
      </c>
      <c r="B508" s="16">
        <f>INT((A508-1)/7)+1</f>
        <v/>
      </c>
      <c r="C508" s="47">
        <f>'Start Here'!$B$5+A508-1</f>
        <v/>
      </c>
      <c r="D508" s="16">
        <f>TEXT(C508,"ddd")</f>
        <v/>
      </c>
      <c r="E508" s="15" t="inlineStr">
        <is>
          <t>Word Wednesday</t>
        </is>
      </c>
      <c r="F508" s="22" t="inlineStr">
        <is>
          <t>🔤 English/French Words</t>
        </is>
      </c>
      <c r="G508" s="15" t="n">
        <v>73</v>
      </c>
      <c r="H508" s="15" t="inlineStr">
        <is>
          <t>K–L Vocabulary</t>
        </is>
      </c>
      <c r="I508" s="15" t="inlineStr">
        <is>
          <t>K–L Vocabulary 🔤 | Kids Vocabulary | Tiny Sparks</t>
        </is>
      </c>
      <c r="J508" s="15" t="inlineStr">
        <is>
          <t>3–5</t>
        </is>
      </c>
      <c r="K508" s="15" t="inlineStr">
        <is>
          <t>Short 9:16</t>
        </is>
      </c>
      <c r="L508" s="15" t="inlineStr">
        <is>
          <t>45–60 s</t>
        </is>
      </c>
      <c r="M508" s="15" t="inlineStr">
        <is>
          <t>Mila + French narrator</t>
        </is>
      </c>
      <c r="N508" s="15" t="inlineStr">
        <is>
          <t>Vocabulary EN→FR: K–L Vocabulary</t>
        </is>
      </c>
      <c r="O508" s="15" t="inlineStr">
        <is>
          <t>Yes</t>
        </is>
      </c>
      <c r="P508" s="15" t="inlineStr">
        <is>
          <t>P3</t>
        </is>
      </c>
      <c r="Q508" s="15" t="inlineStr">
        <is>
          <t>Idea</t>
        </is>
      </c>
      <c r="R508" s="48">
        <f>INDEX('Start Here'!$B$10:$B$16,WEEKDAY(C508,2))</f>
        <v/>
      </c>
      <c r="S508" s="48">
        <f>MOD(R508+'Start Here'!$B$6/24,1)</f>
        <v/>
      </c>
      <c r="T508" s="15" t="n"/>
      <c r="U508" s="15" t="n"/>
      <c r="V508" s="15" t="n"/>
      <c r="W508" s="15" t="n"/>
      <c r="X508" s="20" t="n"/>
      <c r="Y508" s="15" t="n"/>
    </row>
    <row r="509">
      <c r="A509" s="15" t="n">
        <v>508</v>
      </c>
      <c r="B509" s="16">
        <f>INT((A509-1)/7)+1</f>
        <v/>
      </c>
      <c r="C509" s="47">
        <f>'Start Here'!$B$5+A509-1</f>
        <v/>
      </c>
      <c r="D509" s="16">
        <f>TEXT(C509,"ddd")</f>
        <v/>
      </c>
      <c r="E509" s="15" t="inlineStr">
        <is>
          <t>Animal Thursday</t>
        </is>
      </c>
      <c r="F509" s="23" t="inlineStr">
        <is>
          <t>🦁 Animal Stories</t>
        </is>
      </c>
      <c r="G509" s="15" t="n">
        <v>73</v>
      </c>
      <c r="H509" s="15" t="inlineStr">
        <is>
          <t>Animals Clean the Forest</t>
        </is>
      </c>
      <c r="I509" s="15" t="inlineStr">
        <is>
          <t>Animals Clean the Forest 🦁 | Animal Stories for Kids | Tiny Sparks</t>
        </is>
      </c>
      <c r="J509" s="15" t="inlineStr">
        <is>
          <t>3–5</t>
        </is>
      </c>
      <c r="K509" s="15" t="inlineStr">
        <is>
          <t>Long 16:9 + Short teaser</t>
        </is>
      </c>
      <c r="L509" s="15" t="inlineStr">
        <is>
          <t>3–5 min (Short: 50 s)</t>
        </is>
      </c>
      <c r="M509" s="15" t="inlineStr">
        <is>
          <t>guest animal(s) + Bobo</t>
        </is>
      </c>
      <c r="N509" s="15" t="inlineStr">
        <is>
          <t>Story + 3 true animal facts; value: caring for the planet</t>
        </is>
      </c>
      <c r="O509" s="15" t="inlineStr">
        <is>
          <t>Yes</t>
        </is>
      </c>
      <c r="P509" s="15" t="inlineStr">
        <is>
          <t>P3</t>
        </is>
      </c>
      <c r="Q509" s="15" t="inlineStr">
        <is>
          <t>Idea</t>
        </is>
      </c>
      <c r="R509" s="48">
        <f>INDEX('Start Here'!$B$10:$B$16,WEEKDAY(C509,2))</f>
        <v/>
      </c>
      <c r="S509" s="48">
        <f>MOD(R509+'Start Here'!$B$6/24,1)</f>
        <v/>
      </c>
      <c r="T509" s="15" t="n"/>
      <c r="U509" s="15" t="n"/>
      <c r="V509" s="15" t="n"/>
      <c r="W509" s="15" t="n"/>
      <c r="X509" s="20" t="n"/>
      <c r="Y509" s="15" t="n"/>
    </row>
    <row r="510">
      <c r="A510" s="15" t="n">
        <v>509</v>
      </c>
      <c r="B510" s="16">
        <f>INT((A510-1)/7)+1</f>
        <v/>
      </c>
      <c r="C510" s="47">
        <f>'Start Here'!$B$5+A510-1</f>
        <v/>
      </c>
      <c r="D510" s="16">
        <f>TEXT(C510,"ddd")</f>
        <v/>
      </c>
      <c r="E510" s="15" t="inlineStr">
        <is>
          <t>Science Friday</t>
        </is>
      </c>
      <c r="F510" s="24" t="inlineStr">
        <is>
          <t>🚀 Science for Kids</t>
        </is>
      </c>
      <c r="G510" s="15" t="n">
        <v>73</v>
      </c>
      <c r="H510" s="15" t="inlineStr">
        <is>
          <t>What Is a Galaxy?</t>
        </is>
      </c>
      <c r="I510" s="15" t="inlineStr">
        <is>
          <t>What Is a Galaxy? 🚀 | Science for Kids | Tiny Sparks</t>
        </is>
      </c>
      <c r="J510" s="15" t="inlineStr">
        <is>
          <t>6–8</t>
        </is>
      </c>
      <c r="K510" s="15" t="inlineStr">
        <is>
          <t>Short 9:16</t>
        </is>
      </c>
      <c r="L510" s="15" t="inlineStr">
        <is>
          <t>45–60 s</t>
        </is>
      </c>
      <c r="M510" s="15" t="inlineStr">
        <is>
          <t>Prof. Hoot + Leo (wrong guess) + Mila</t>
        </is>
      </c>
      <c r="N510" s="15" t="inlineStr">
        <is>
          <t>Answer simply: What Is a Galaxy?</t>
        </is>
      </c>
      <c r="O510" s="15" t="inlineStr">
        <is>
          <t>Yes</t>
        </is>
      </c>
      <c r="P510" s="15" t="inlineStr">
        <is>
          <t>P3</t>
        </is>
      </c>
      <c r="Q510" s="15" t="inlineStr">
        <is>
          <t>Idea</t>
        </is>
      </c>
      <c r="R510" s="48">
        <f>INDEX('Start Here'!$B$10:$B$16,WEEKDAY(C510,2))</f>
        <v/>
      </c>
      <c r="S510" s="48">
        <f>MOD(R510+'Start Here'!$B$6/24,1)</f>
        <v/>
      </c>
      <c r="T510" s="15" t="n"/>
      <c r="U510" s="15" t="n"/>
      <c r="V510" s="15" t="n"/>
      <c r="W510" s="15" t="n"/>
      <c r="X510" s="20" t="n"/>
      <c r="Y510" s="15" t="n"/>
    </row>
    <row r="511">
      <c r="A511" s="15" t="n">
        <v>510</v>
      </c>
      <c r="B511" s="16">
        <f>INT((A511-1)/7)+1</f>
        <v/>
      </c>
      <c r="C511" s="47">
        <f>'Start Here'!$B$5+A511-1</f>
        <v/>
      </c>
      <c r="D511" s="16">
        <f>TEXT(C511,"ddd")</f>
        <v/>
      </c>
      <c r="E511" s="15" t="inlineStr">
        <is>
          <t>Puzzle Saturday</t>
        </is>
      </c>
      <c r="F511" s="25" t="inlineStr">
        <is>
          <t>🧩 Puzzles &amp; Problem-Solving</t>
        </is>
      </c>
      <c r="G511" s="15" t="n">
        <v>73</v>
      </c>
      <c r="H511" s="15" t="inlineStr">
        <is>
          <t>Choose the Correct Shadow</t>
        </is>
      </c>
      <c r="I511" s="15" t="inlineStr">
        <is>
          <t>Choose the Correct Shadow 🧩 | Brain Games for Kids | Tiny Sparks</t>
        </is>
      </c>
      <c r="J511" s="15" t="inlineStr">
        <is>
          <t>3–5</t>
        </is>
      </c>
      <c r="K511" s="15" t="inlineStr">
        <is>
          <t>Short 9:16</t>
        </is>
      </c>
      <c r="L511" s="15" t="inlineStr">
        <is>
          <t>45–60 s</t>
        </is>
      </c>
      <c r="M511" s="15" t="inlineStr">
        <is>
          <t>Prof. Hoot + Leo + score strip</t>
        </is>
      </c>
      <c r="N511" s="15" t="inlineStr">
        <is>
          <t>Thinking skill: matching/classifying</t>
        </is>
      </c>
      <c r="O511" s="15" t="inlineStr">
        <is>
          <t>Yes</t>
        </is>
      </c>
      <c r="P511" s="15" t="inlineStr">
        <is>
          <t>P3</t>
        </is>
      </c>
      <c r="Q511" s="15" t="inlineStr">
        <is>
          <t>Idea</t>
        </is>
      </c>
      <c r="R511" s="48">
        <f>INDEX('Start Here'!$B$10:$B$16,WEEKDAY(C511,2))</f>
        <v/>
      </c>
      <c r="S511" s="48">
        <f>MOD(R511+'Start Here'!$B$6/24,1)</f>
        <v/>
      </c>
      <c r="T511" s="15" t="n"/>
      <c r="U511" s="15" t="n"/>
      <c r="V511" s="15" t="n"/>
      <c r="W511" s="15" t="n"/>
      <c r="X511" s="20" t="n"/>
      <c r="Y511" s="15" t="n"/>
    </row>
    <row r="512">
      <c r="A512" s="15" t="n">
        <v>511</v>
      </c>
      <c r="B512" s="16">
        <f>INT((A512-1)/7)+1</f>
        <v/>
      </c>
      <c r="C512" s="47">
        <f>'Start Here'!$B$5+A512-1</f>
        <v/>
      </c>
      <c r="D512" s="16">
        <f>TEXT(C512,"ddd")</f>
        <v/>
      </c>
      <c r="E512" s="15" t="inlineStr">
        <is>
          <t>Song Sunday</t>
        </is>
      </c>
      <c r="F512" s="26" t="inlineStr">
        <is>
          <t>🎵 Educational Songs</t>
        </is>
      </c>
      <c r="G512" s="15" t="n">
        <v>73</v>
      </c>
      <c r="H512" s="15" t="inlineStr">
        <is>
          <t>Butterfly Life Cycle Song</t>
        </is>
      </c>
      <c r="I512" s="15" t="inlineStr">
        <is>
          <t>Butterfly Life Cycle Song 🎵 | Kids Songs | Tiny Sparks</t>
        </is>
      </c>
      <c r="J512" s="15" t="inlineStr">
        <is>
          <t>6–8</t>
        </is>
      </c>
      <c r="K512" s="15" t="inlineStr">
        <is>
          <t>Long 16:9 + Short cut</t>
        </is>
      </c>
      <c r="L512" s="15" t="inlineStr">
        <is>
          <t>2–3 min (Short: 45 s chorus)</t>
        </is>
      </c>
      <c r="M512" s="15" t="inlineStr">
        <is>
          <t>Mila sings, all dance</t>
        </is>
      </c>
      <c r="N512" s="15" t="inlineStr">
        <is>
          <t>Sing &amp; learn: Butterfly Life Cycle</t>
        </is>
      </c>
      <c r="O512" s="15" t="inlineStr">
        <is>
          <t>Build first: butterfly</t>
        </is>
      </c>
      <c r="P512" s="15" t="inlineStr">
        <is>
          <t>P3</t>
        </is>
      </c>
      <c r="Q512" s="15" t="inlineStr">
        <is>
          <t>Idea</t>
        </is>
      </c>
      <c r="R512" s="48">
        <f>INDEX('Start Here'!$B$10:$B$16,WEEKDAY(C512,2))</f>
        <v/>
      </c>
      <c r="S512" s="48">
        <f>MOD(R512+'Start Here'!$B$6/24,1)</f>
        <v/>
      </c>
      <c r="T512" s="15" t="n"/>
      <c r="U512" s="15" t="n"/>
      <c r="V512" s="15" t="n"/>
      <c r="W512" s="15" t="n"/>
      <c r="X512" s="20" t="n"/>
      <c r="Y512" s="15" t="n"/>
    </row>
    <row r="513">
      <c r="A513" s="15" t="n">
        <v>512</v>
      </c>
      <c r="B513" s="16">
        <f>INT((A513-1)/7)+1</f>
        <v/>
      </c>
      <c r="C513" s="47">
        <f>'Start Here'!$B$5+A513-1</f>
        <v/>
      </c>
      <c r="D513" s="16">
        <f>TEXT(C513,"ddd")</f>
        <v/>
      </c>
      <c r="E513" s="15" t="inlineStr">
        <is>
          <t>Story Monday</t>
        </is>
      </c>
      <c r="F513" s="27" t="inlineStr">
        <is>
          <t>📚 Moral Stories</t>
        </is>
      </c>
      <c r="G513" s="15" t="n">
        <v>37</v>
      </c>
      <c r="H513" s="15" t="inlineStr">
        <is>
          <t>The Small Bird with a Big Heart</t>
        </is>
      </c>
      <c r="I513" s="15" t="inlineStr">
        <is>
          <t>The Small Bird with a Big Heart 📚 | Moral Stories for Kids | Tiny Sparks</t>
        </is>
      </c>
      <c r="J513" s="15" t="inlineStr">
        <is>
          <t>6–8</t>
        </is>
      </c>
      <c r="K513" s="15" t="inlineStr">
        <is>
          <t>Long 16:9 + Short teaser</t>
        </is>
      </c>
      <c r="L513" s="15" t="inlineStr">
        <is>
          <t>3–5 min (Short: 50 s)</t>
        </is>
      </c>
      <c r="M513" s="15" t="inlineStr">
        <is>
          <t>narrator + guest animals / Mila &amp; Leo</t>
        </is>
      </c>
      <c r="N513" s="15" t="inlineStr">
        <is>
          <t>Value: kindness</t>
        </is>
      </c>
      <c r="O513" s="15" t="inlineStr">
        <is>
          <t>Build first: bird</t>
        </is>
      </c>
      <c r="P513" s="15" t="inlineStr">
        <is>
          <t>P3</t>
        </is>
      </c>
      <c r="Q513" s="15" t="inlineStr">
        <is>
          <t>Idea</t>
        </is>
      </c>
      <c r="R513" s="48">
        <f>INDEX('Start Here'!$B$10:$B$16,WEEKDAY(C513,2))</f>
        <v/>
      </c>
      <c r="S513" s="48">
        <f>MOD(R513+'Start Here'!$B$6/24,1)</f>
        <v/>
      </c>
      <c r="T513" s="15" t="n"/>
      <c r="U513" s="15" t="n"/>
      <c r="V513" s="15" t="n"/>
      <c r="W513" s="15" t="n"/>
      <c r="X513" s="20" t="n"/>
      <c r="Y513" s="15" t="n"/>
    </row>
    <row r="514">
      <c r="A514" s="15" t="n">
        <v>513</v>
      </c>
      <c r="B514" s="16">
        <f>INT((A514-1)/7)+1</f>
        <v/>
      </c>
      <c r="C514" s="47">
        <f>'Start Here'!$B$5+A514-1</f>
        <v/>
      </c>
      <c r="D514" s="16">
        <f>TEXT(C514,"ddd")</f>
        <v/>
      </c>
      <c r="E514" s="15" t="inlineStr">
        <is>
          <t>Math Tuesday</t>
        </is>
      </c>
      <c r="F514" s="21" t="inlineStr">
        <is>
          <t>🔢 Numbers &amp; Math</t>
        </is>
      </c>
      <c r="G514" s="15" t="n">
        <v>74</v>
      </c>
      <c r="H514" s="15" t="inlineStr">
        <is>
          <t>Complete the Number Pattern</t>
        </is>
      </c>
      <c r="I514" s="15" t="inlineStr">
        <is>
          <t>Complete the Number Pattern 🔢 | Learn Math for Kids | Tiny Sparks</t>
        </is>
      </c>
      <c r="J514" s="15" t="inlineStr">
        <is>
          <t>6–8</t>
        </is>
      </c>
      <c r="K514" s="15" t="inlineStr">
        <is>
          <t>Short 9:16</t>
        </is>
      </c>
      <c r="L514" s="15" t="inlineStr">
        <is>
          <t>45–60 s</t>
        </is>
      </c>
      <c r="M514" s="15" t="inlineStr">
        <is>
          <t>Bobo + Mila (counting fingers)</t>
        </is>
      </c>
      <c r="N514" s="15" t="inlineStr">
        <is>
          <t>Math: Complete the Number Pattern</t>
        </is>
      </c>
      <c r="O514" s="15" t="inlineStr">
        <is>
          <t>Yes</t>
        </is>
      </c>
      <c r="P514" s="15" t="inlineStr">
        <is>
          <t>P3</t>
        </is>
      </c>
      <c r="Q514" s="15" t="inlineStr">
        <is>
          <t>Idea</t>
        </is>
      </c>
      <c r="R514" s="48">
        <f>INDEX('Start Here'!$B$10:$B$16,WEEKDAY(C514,2))</f>
        <v/>
      </c>
      <c r="S514" s="48">
        <f>MOD(R514+'Start Here'!$B$6/24,1)</f>
        <v/>
      </c>
      <c r="T514" s="15" t="n"/>
      <c r="U514" s="15" t="n"/>
      <c r="V514" s="15" t="n"/>
      <c r="W514" s="15" t="n"/>
      <c r="X514" s="20" t="n"/>
      <c r="Y514" s="15" t="n"/>
    </row>
    <row r="515">
      <c r="A515" s="15" t="n">
        <v>514</v>
      </c>
      <c r="B515" s="16">
        <f>INT((A515-1)/7)+1</f>
        <v/>
      </c>
      <c r="C515" s="47">
        <f>'Start Here'!$B$5+A515-1</f>
        <v/>
      </c>
      <c r="D515" s="16">
        <f>TEXT(C515,"ddd")</f>
        <v/>
      </c>
      <c r="E515" s="15" t="inlineStr">
        <is>
          <t>Word Wednesday</t>
        </is>
      </c>
      <c r="F515" s="22" t="inlineStr">
        <is>
          <t>🔤 English/French Words</t>
        </is>
      </c>
      <c r="G515" s="15" t="n">
        <v>74</v>
      </c>
      <c r="H515" s="15" t="inlineStr">
        <is>
          <t>M–N Vocabulary</t>
        </is>
      </c>
      <c r="I515" s="15" t="inlineStr">
        <is>
          <t>M–N Vocabulary 🔤 | Kids Vocabulary | Tiny Sparks</t>
        </is>
      </c>
      <c r="J515" s="15" t="inlineStr">
        <is>
          <t>3–5</t>
        </is>
      </c>
      <c r="K515" s="15" t="inlineStr">
        <is>
          <t>Short 9:16</t>
        </is>
      </c>
      <c r="L515" s="15" t="inlineStr">
        <is>
          <t>45–60 s</t>
        </is>
      </c>
      <c r="M515" s="15" t="inlineStr">
        <is>
          <t>Mila + French narrator</t>
        </is>
      </c>
      <c r="N515" s="15" t="inlineStr">
        <is>
          <t>Vocabulary EN→FR: M–N Vocabulary</t>
        </is>
      </c>
      <c r="O515" s="15" t="inlineStr">
        <is>
          <t>Yes</t>
        </is>
      </c>
      <c r="P515" s="15" t="inlineStr">
        <is>
          <t>P3</t>
        </is>
      </c>
      <c r="Q515" s="15" t="inlineStr">
        <is>
          <t>Idea</t>
        </is>
      </c>
      <c r="R515" s="48">
        <f>INDEX('Start Here'!$B$10:$B$16,WEEKDAY(C515,2))</f>
        <v/>
      </c>
      <c r="S515" s="48">
        <f>MOD(R515+'Start Here'!$B$6/24,1)</f>
        <v/>
      </c>
      <c r="T515" s="15" t="n"/>
      <c r="U515" s="15" t="n"/>
      <c r="V515" s="15" t="n"/>
      <c r="W515" s="15" t="n"/>
      <c r="X515" s="20" t="n"/>
      <c r="Y515" s="15" t="n"/>
    </row>
    <row r="516">
      <c r="A516" s="15" t="n">
        <v>515</v>
      </c>
      <c r="B516" s="16">
        <f>INT((A516-1)/7)+1</f>
        <v/>
      </c>
      <c r="C516" s="47">
        <f>'Start Here'!$B$5+A516-1</f>
        <v/>
      </c>
      <c r="D516" s="16">
        <f>TEXT(C516,"ddd")</f>
        <v/>
      </c>
      <c r="E516" s="15" t="inlineStr">
        <is>
          <t>Animal Thursday</t>
        </is>
      </c>
      <c r="F516" s="23" t="inlineStr">
        <is>
          <t>🦁 Animal Stories</t>
        </is>
      </c>
      <c r="G516" s="15" t="n">
        <v>74</v>
      </c>
      <c r="H516" s="15" t="inlineStr">
        <is>
          <t>Animals Save the River</t>
        </is>
      </c>
      <c r="I516" s="15" t="inlineStr">
        <is>
          <t>Animals Save the River 🦁 | Animal Stories for Kids | Tiny Sparks</t>
        </is>
      </c>
      <c r="J516" s="15" t="inlineStr">
        <is>
          <t>3–5</t>
        </is>
      </c>
      <c r="K516" s="15" t="inlineStr">
        <is>
          <t>Long 16:9 + Short teaser</t>
        </is>
      </c>
      <c r="L516" s="15" t="inlineStr">
        <is>
          <t>3–5 min (Short: 50 s)</t>
        </is>
      </c>
      <c r="M516" s="15" t="inlineStr">
        <is>
          <t>guest animal(s) + Bobo</t>
        </is>
      </c>
      <c r="N516" s="15" t="inlineStr">
        <is>
          <t>Story + 3 true animal facts; value: caring for the planet</t>
        </is>
      </c>
      <c r="O516" s="15" t="inlineStr">
        <is>
          <t>Yes</t>
        </is>
      </c>
      <c r="P516" s="15" t="inlineStr">
        <is>
          <t>P3</t>
        </is>
      </c>
      <c r="Q516" s="15" t="inlineStr">
        <is>
          <t>Idea</t>
        </is>
      </c>
      <c r="R516" s="48">
        <f>INDEX('Start Here'!$B$10:$B$16,WEEKDAY(C516,2))</f>
        <v/>
      </c>
      <c r="S516" s="48">
        <f>MOD(R516+'Start Here'!$B$6/24,1)</f>
        <v/>
      </c>
      <c r="T516" s="15" t="n"/>
      <c r="U516" s="15" t="n"/>
      <c r="V516" s="15" t="n"/>
      <c r="W516" s="15" t="n"/>
      <c r="X516" s="20" t="n"/>
      <c r="Y516" s="15" t="n"/>
    </row>
    <row r="517">
      <c r="A517" s="15" t="n">
        <v>516</v>
      </c>
      <c r="B517" s="16">
        <f>INT((A517-1)/7)+1</f>
        <v/>
      </c>
      <c r="C517" s="47">
        <f>'Start Here'!$B$5+A517-1</f>
        <v/>
      </c>
      <c r="D517" s="16">
        <f>TEXT(C517,"ddd")</f>
        <v/>
      </c>
      <c r="E517" s="15" t="inlineStr">
        <is>
          <t>Science Friday</t>
        </is>
      </c>
      <c r="F517" s="24" t="inlineStr">
        <is>
          <t>🚀 Science for Kids</t>
        </is>
      </c>
      <c r="G517" s="15" t="n">
        <v>74</v>
      </c>
      <c r="H517" s="15" t="inlineStr">
        <is>
          <t>How Do Rockets Fly?</t>
        </is>
      </c>
      <c r="I517" s="15" t="inlineStr">
        <is>
          <t>How Do Rockets Fly? 🚀 | Science for Kids | Tiny Sparks</t>
        </is>
      </c>
      <c r="J517" s="15" t="inlineStr">
        <is>
          <t>6–8</t>
        </is>
      </c>
      <c r="K517" s="15" t="inlineStr">
        <is>
          <t>Short 9:16</t>
        </is>
      </c>
      <c r="L517" s="15" t="inlineStr">
        <is>
          <t>45–60 s</t>
        </is>
      </c>
      <c r="M517" s="15" t="inlineStr">
        <is>
          <t>Prof. Hoot + Leo (wrong guess) + Mila</t>
        </is>
      </c>
      <c r="N517" s="15" t="inlineStr">
        <is>
          <t>Answer simply: How Do Rockets Fly?</t>
        </is>
      </c>
      <c r="O517" s="15" t="inlineStr">
        <is>
          <t>Yes</t>
        </is>
      </c>
      <c r="P517" s="15" t="inlineStr">
        <is>
          <t>P3</t>
        </is>
      </c>
      <c r="Q517" s="15" t="inlineStr">
        <is>
          <t>Idea</t>
        </is>
      </c>
      <c r="R517" s="48">
        <f>INDEX('Start Here'!$B$10:$B$16,WEEKDAY(C517,2))</f>
        <v/>
      </c>
      <c r="S517" s="48">
        <f>MOD(R517+'Start Here'!$B$6/24,1)</f>
        <v/>
      </c>
      <c r="T517" s="15" t="n"/>
      <c r="U517" s="15" t="n"/>
      <c r="V517" s="15" t="n"/>
      <c r="W517" s="15" t="n"/>
      <c r="X517" s="20" t="n"/>
      <c r="Y517" s="15" t="n"/>
    </row>
    <row r="518">
      <c r="A518" s="15" t="n">
        <v>517</v>
      </c>
      <c r="B518" s="16">
        <f>INT((A518-1)/7)+1</f>
        <v/>
      </c>
      <c r="C518" s="47">
        <f>'Start Here'!$B$5+A518-1</f>
        <v/>
      </c>
      <c r="D518" s="16">
        <f>TEXT(C518,"ddd")</f>
        <v/>
      </c>
      <c r="E518" s="15" t="inlineStr">
        <is>
          <t>Puzzle Saturday</t>
        </is>
      </c>
      <c r="F518" s="25" t="inlineStr">
        <is>
          <t>🧩 Puzzles &amp; Problem-Solving</t>
        </is>
      </c>
      <c r="G518" s="15" t="n">
        <v>74</v>
      </c>
      <c r="H518" s="15" t="inlineStr">
        <is>
          <t>Match the Animal to Its Home</t>
        </is>
      </c>
      <c r="I518" s="15" t="inlineStr">
        <is>
          <t>Match the Animal to Its Home 🧩 | Brain Games for Kids | Tiny Sparks</t>
        </is>
      </c>
      <c r="J518" s="15" t="inlineStr">
        <is>
          <t>3–5</t>
        </is>
      </c>
      <c r="K518" s="15" t="inlineStr">
        <is>
          <t>Short 9:16</t>
        </is>
      </c>
      <c r="L518" s="15" t="inlineStr">
        <is>
          <t>45–60 s</t>
        </is>
      </c>
      <c r="M518" s="15" t="inlineStr">
        <is>
          <t>Prof. Hoot + Leo + score strip</t>
        </is>
      </c>
      <c r="N518" s="15" t="inlineStr">
        <is>
          <t>Thinking skill: matching/classifying</t>
        </is>
      </c>
      <c r="O518" s="15" t="inlineStr">
        <is>
          <t>Yes</t>
        </is>
      </c>
      <c r="P518" s="15" t="inlineStr">
        <is>
          <t>P3</t>
        </is>
      </c>
      <c r="Q518" s="15" t="inlineStr">
        <is>
          <t>Idea</t>
        </is>
      </c>
      <c r="R518" s="48">
        <f>INDEX('Start Here'!$B$10:$B$16,WEEKDAY(C518,2))</f>
        <v/>
      </c>
      <c r="S518" s="48">
        <f>MOD(R518+'Start Here'!$B$6/24,1)</f>
        <v/>
      </c>
      <c r="T518" s="15" t="n"/>
      <c r="U518" s="15" t="n"/>
      <c r="V518" s="15" t="n"/>
      <c r="W518" s="15" t="n"/>
      <c r="X518" s="20" t="n"/>
      <c r="Y518" s="15" t="n"/>
    </row>
    <row r="519">
      <c r="A519" s="15" t="n">
        <v>518</v>
      </c>
      <c r="B519" s="16">
        <f>INT((A519-1)/7)+1</f>
        <v/>
      </c>
      <c r="C519" s="47">
        <f>'Start Here'!$B$5+A519-1</f>
        <v/>
      </c>
      <c r="D519" s="16">
        <f>TEXT(C519,"ddd")</f>
        <v/>
      </c>
      <c r="E519" s="15" t="inlineStr">
        <is>
          <t>Song Sunday</t>
        </is>
      </c>
      <c r="F519" s="26" t="inlineStr">
        <is>
          <t>🎵 Educational Songs</t>
        </is>
      </c>
      <c r="G519" s="15" t="n">
        <v>74</v>
      </c>
      <c r="H519" s="15" t="inlineStr">
        <is>
          <t>Frog Life Cycle Song</t>
        </is>
      </c>
      <c r="I519" s="15" t="inlineStr">
        <is>
          <t>Frog Life Cycle Song 🎵 | Kids Songs | Tiny Sparks</t>
        </is>
      </c>
      <c r="J519" s="15" t="inlineStr">
        <is>
          <t>6–8</t>
        </is>
      </c>
      <c r="K519" s="15" t="inlineStr">
        <is>
          <t>Long 16:9 + Short cut</t>
        </is>
      </c>
      <c r="L519" s="15" t="inlineStr">
        <is>
          <t>2–3 min (Short: 45 s chorus)</t>
        </is>
      </c>
      <c r="M519" s="15" t="inlineStr">
        <is>
          <t>Mila sings, all dance</t>
        </is>
      </c>
      <c r="N519" s="15" t="inlineStr">
        <is>
          <t>Sing &amp; learn: Frog Life Cycle</t>
        </is>
      </c>
      <c r="O519" s="15" t="inlineStr">
        <is>
          <t>Yes</t>
        </is>
      </c>
      <c r="P519" s="15" t="inlineStr">
        <is>
          <t>P3</t>
        </is>
      </c>
      <c r="Q519" s="15" t="inlineStr">
        <is>
          <t>Idea</t>
        </is>
      </c>
      <c r="R519" s="48">
        <f>INDEX('Start Here'!$B$10:$B$16,WEEKDAY(C519,2))</f>
        <v/>
      </c>
      <c r="S519" s="48">
        <f>MOD(R519+'Start Here'!$B$6/24,1)</f>
        <v/>
      </c>
      <c r="T519" s="15" t="n"/>
      <c r="U519" s="15" t="n"/>
      <c r="V519" s="15" t="n"/>
      <c r="W519" s="15" t="n"/>
      <c r="X519" s="20" t="n"/>
      <c r="Y519" s="15" t="n"/>
    </row>
    <row r="520">
      <c r="A520" s="15" t="n">
        <v>519</v>
      </c>
      <c r="B520" s="16">
        <f>INT((A520-1)/7)+1</f>
        <v/>
      </c>
      <c r="C520" s="47">
        <f>'Start Here'!$B$5+A520-1</f>
        <v/>
      </c>
      <c r="D520" s="16">
        <f>TEXT(C520,"ddd")</f>
        <v/>
      </c>
      <c r="E520" s="15" t="inlineStr">
        <is>
          <t>Story Monday</t>
        </is>
      </c>
      <c r="F520" s="18" t="inlineStr">
        <is>
          <t>🧠 Educational Stories</t>
        </is>
      </c>
      <c r="G520" s="15" t="n">
        <v>38</v>
      </c>
      <c r="H520" s="15" t="inlineStr">
        <is>
          <t>The Secret of the Broken Clock</t>
        </is>
      </c>
      <c r="I520" s="15" t="inlineStr">
        <is>
          <t>The Secret of the Broken Clock 🧠 | Kids Stories | Tiny Sparks</t>
        </is>
      </c>
      <c r="J520" s="15" t="inlineStr">
        <is>
          <t>6–8</t>
        </is>
      </c>
      <c r="K520" s="15" t="inlineStr">
        <is>
          <t>Long 16:9 + Short teaser</t>
        </is>
      </c>
      <c r="L520" s="15" t="inlineStr">
        <is>
          <t>3–5 min (Short: 50 s)</t>
        </is>
      </c>
      <c r="M520" s="15" t="inlineStr">
        <is>
          <t>Mila, Leo, Bobo + narrator</t>
        </is>
      </c>
      <c r="N520" s="15" t="inlineStr">
        <is>
          <t>Curiosity + problem solving</t>
        </is>
      </c>
      <c r="O520" s="15" t="inlineStr">
        <is>
          <t>Yes</t>
        </is>
      </c>
      <c r="P520" s="15" t="inlineStr">
        <is>
          <t>P3</t>
        </is>
      </c>
      <c r="Q520" s="15" t="inlineStr">
        <is>
          <t>Idea</t>
        </is>
      </c>
      <c r="R520" s="48">
        <f>INDEX('Start Here'!$B$10:$B$16,WEEKDAY(C520,2))</f>
        <v/>
      </c>
      <c r="S520" s="48">
        <f>MOD(R520+'Start Here'!$B$6/24,1)</f>
        <v/>
      </c>
      <c r="T520" s="15" t="n"/>
      <c r="U520" s="15" t="n"/>
      <c r="V520" s="15" t="n"/>
      <c r="W520" s="15" t="n"/>
      <c r="X520" s="20" t="n"/>
      <c r="Y520" s="15" t="n"/>
    </row>
    <row r="521">
      <c r="A521" s="15" t="n">
        <v>520</v>
      </c>
      <c r="B521" s="16">
        <f>INT((A521-1)/7)+1</f>
        <v/>
      </c>
      <c r="C521" s="47">
        <f>'Start Here'!$B$5+A521-1</f>
        <v/>
      </c>
      <c r="D521" s="16">
        <f>TEXT(C521,"ddd")</f>
        <v/>
      </c>
      <c r="E521" s="15" t="inlineStr">
        <is>
          <t>Math Tuesday</t>
        </is>
      </c>
      <c r="F521" s="21" t="inlineStr">
        <is>
          <t>🔢 Numbers &amp; Math</t>
        </is>
      </c>
      <c r="G521" s="15" t="n">
        <v>75</v>
      </c>
      <c r="H521" s="15" t="inlineStr">
        <is>
          <t>Animal Pattern Challenge</t>
        </is>
      </c>
      <c r="I521" s="15" t="inlineStr">
        <is>
          <t>Animal Pattern Challenge 🔢 | Learn Math for Kids | Tiny Sparks</t>
        </is>
      </c>
      <c r="J521" s="15" t="inlineStr">
        <is>
          <t>6–8</t>
        </is>
      </c>
      <c r="K521" s="15" t="inlineStr">
        <is>
          <t>Long 16:9</t>
        </is>
      </c>
      <c r="L521" s="15" t="inlineStr">
        <is>
          <t>4–8 min</t>
        </is>
      </c>
      <c r="M521" s="15" t="inlineStr">
        <is>
          <t>Bobo + Mila (counting fingers)</t>
        </is>
      </c>
      <c r="N521" s="15" t="inlineStr">
        <is>
          <t>Math: Animal Pattern Challenge</t>
        </is>
      </c>
      <c r="O521" s="15" t="inlineStr">
        <is>
          <t>Yes</t>
        </is>
      </c>
      <c r="P521" s="15" t="inlineStr">
        <is>
          <t>P3</t>
        </is>
      </c>
      <c r="Q521" s="15" t="inlineStr">
        <is>
          <t>Idea</t>
        </is>
      </c>
      <c r="R521" s="48">
        <f>INDEX('Start Here'!$B$10:$B$16,WEEKDAY(C521,2))</f>
        <v/>
      </c>
      <c r="S521" s="48">
        <f>MOD(R521+'Start Here'!$B$6/24,1)</f>
        <v/>
      </c>
      <c r="T521" s="15" t="n"/>
      <c r="U521" s="15" t="n"/>
      <c r="V521" s="15" t="n"/>
      <c r="W521" s="15" t="n"/>
      <c r="X521" s="20" t="n"/>
      <c r="Y521" s="15" t="n"/>
    </row>
    <row r="522">
      <c r="A522" s="15" t="n">
        <v>521</v>
      </c>
      <c r="B522" s="16">
        <f>INT((A522-1)/7)+1</f>
        <v/>
      </c>
      <c r="C522" s="47">
        <f>'Start Here'!$B$5+A522-1</f>
        <v/>
      </c>
      <c r="D522" s="16">
        <f>TEXT(C522,"ddd")</f>
        <v/>
      </c>
      <c r="E522" s="15" t="inlineStr">
        <is>
          <t>Word Wednesday</t>
        </is>
      </c>
      <c r="F522" s="22" t="inlineStr">
        <is>
          <t>🔤 English/French Words</t>
        </is>
      </c>
      <c r="G522" s="15" t="n">
        <v>75</v>
      </c>
      <c r="H522" s="15" t="inlineStr">
        <is>
          <t>O–P Vocabulary</t>
        </is>
      </c>
      <c r="I522" s="15" t="inlineStr">
        <is>
          <t>O–P Vocabulary 🔤 | Kids Vocabulary | Tiny Sparks</t>
        </is>
      </c>
      <c r="J522" s="15" t="inlineStr">
        <is>
          <t>3–5</t>
        </is>
      </c>
      <c r="K522" s="15" t="inlineStr">
        <is>
          <t>Short 9:16</t>
        </is>
      </c>
      <c r="L522" s="15" t="inlineStr">
        <is>
          <t>45–60 s</t>
        </is>
      </c>
      <c r="M522" s="15" t="inlineStr">
        <is>
          <t>Mila + French narrator</t>
        </is>
      </c>
      <c r="N522" s="15" t="inlineStr">
        <is>
          <t>Vocabulary EN→FR: O–P Vocabulary</t>
        </is>
      </c>
      <c r="O522" s="15" t="inlineStr">
        <is>
          <t>Yes</t>
        </is>
      </c>
      <c r="P522" s="15" t="inlineStr">
        <is>
          <t>P3</t>
        </is>
      </c>
      <c r="Q522" s="15" t="inlineStr">
        <is>
          <t>Idea</t>
        </is>
      </c>
      <c r="R522" s="48">
        <f>INDEX('Start Here'!$B$10:$B$16,WEEKDAY(C522,2))</f>
        <v/>
      </c>
      <c r="S522" s="48">
        <f>MOD(R522+'Start Here'!$B$6/24,1)</f>
        <v/>
      </c>
      <c r="T522" s="15" t="n"/>
      <c r="U522" s="15" t="n"/>
      <c r="V522" s="15" t="n"/>
      <c r="W522" s="15" t="n"/>
      <c r="X522" s="20" t="n"/>
      <c r="Y522" s="15" t="n"/>
    </row>
    <row r="523">
      <c r="A523" s="15" t="n">
        <v>522</v>
      </c>
      <c r="B523" s="16">
        <f>INT((A523-1)/7)+1</f>
        <v/>
      </c>
      <c r="C523" s="47">
        <f>'Start Here'!$B$5+A523-1</f>
        <v/>
      </c>
      <c r="D523" s="16">
        <f>TEXT(C523,"ddd")</f>
        <v/>
      </c>
      <c r="E523" s="15" t="inlineStr">
        <is>
          <t>Animal Thursday</t>
        </is>
      </c>
      <c r="F523" s="23" t="inlineStr">
        <is>
          <t>🦁 Animal Stories</t>
        </is>
      </c>
      <c r="G523" s="15" t="n">
        <v>75</v>
      </c>
      <c r="H523" s="15" t="inlineStr">
        <is>
          <t>Animals Plant a Garden</t>
        </is>
      </c>
      <c r="I523" s="15" t="inlineStr">
        <is>
          <t>Animals Plant a Garden 🦁 | Animal Stories for Kids | Tiny Sparks</t>
        </is>
      </c>
      <c r="J523" s="15" t="inlineStr">
        <is>
          <t>3–5</t>
        </is>
      </c>
      <c r="K523" s="15" t="inlineStr">
        <is>
          <t>Long 16:9 + Short teaser</t>
        </is>
      </c>
      <c r="L523" s="15" t="inlineStr">
        <is>
          <t>3–5 min (Short: 50 s)</t>
        </is>
      </c>
      <c r="M523" s="15" t="inlineStr">
        <is>
          <t>guest animal(s) + Bobo</t>
        </is>
      </c>
      <c r="N523" s="15" t="inlineStr">
        <is>
          <t>Story + 3 true animal facts; value: friendship</t>
        </is>
      </c>
      <c r="O523" s="15" t="inlineStr">
        <is>
          <t>Yes</t>
        </is>
      </c>
      <c r="P523" s="15" t="inlineStr">
        <is>
          <t>P3</t>
        </is>
      </c>
      <c r="Q523" s="15" t="inlineStr">
        <is>
          <t>Idea</t>
        </is>
      </c>
      <c r="R523" s="48">
        <f>INDEX('Start Here'!$B$10:$B$16,WEEKDAY(C523,2))</f>
        <v/>
      </c>
      <c r="S523" s="48">
        <f>MOD(R523+'Start Here'!$B$6/24,1)</f>
        <v/>
      </c>
      <c r="T523" s="15" t="n"/>
      <c r="U523" s="15" t="n"/>
      <c r="V523" s="15" t="n"/>
      <c r="W523" s="15" t="n"/>
      <c r="X523" s="20" t="n"/>
      <c r="Y523" s="15" t="n"/>
    </row>
    <row r="524">
      <c r="A524" s="15" t="n">
        <v>523</v>
      </c>
      <c r="B524" s="16">
        <f>INT((A524-1)/7)+1</f>
        <v/>
      </c>
      <c r="C524" s="47">
        <f>'Start Here'!$B$5+A524-1</f>
        <v/>
      </c>
      <c r="D524" s="16">
        <f>TEXT(C524,"ddd")</f>
        <v/>
      </c>
      <c r="E524" s="15" t="inlineStr">
        <is>
          <t>Science Friday</t>
        </is>
      </c>
      <c r="F524" s="24" t="inlineStr">
        <is>
          <t>🚀 Science for Kids</t>
        </is>
      </c>
      <c r="G524" s="15" t="n">
        <v>75</v>
      </c>
      <c r="H524" s="15" t="inlineStr">
        <is>
          <t>What Do Astronauts Eat?</t>
        </is>
      </c>
      <c r="I524" s="15" t="inlineStr">
        <is>
          <t>What Do Astronauts Eat? 🚀 | Science for Kids | Tiny Sparks</t>
        </is>
      </c>
      <c r="J524" s="15" t="inlineStr">
        <is>
          <t>6–8</t>
        </is>
      </c>
      <c r="K524" s="15" t="inlineStr">
        <is>
          <t>Short 9:16</t>
        </is>
      </c>
      <c r="L524" s="15" t="inlineStr">
        <is>
          <t>45–60 s</t>
        </is>
      </c>
      <c r="M524" s="15" t="inlineStr">
        <is>
          <t>Prof. Hoot + Leo (wrong guess) + Mila</t>
        </is>
      </c>
      <c r="N524" s="15" t="inlineStr">
        <is>
          <t>Answer simply: What Do Astronauts Eat?</t>
        </is>
      </c>
      <c r="O524" s="15" t="inlineStr">
        <is>
          <t>Yes</t>
        </is>
      </c>
      <c r="P524" s="15" t="inlineStr">
        <is>
          <t>P3</t>
        </is>
      </c>
      <c r="Q524" s="15" t="inlineStr">
        <is>
          <t>Idea</t>
        </is>
      </c>
      <c r="R524" s="48">
        <f>INDEX('Start Here'!$B$10:$B$16,WEEKDAY(C524,2))</f>
        <v/>
      </c>
      <c r="S524" s="48">
        <f>MOD(R524+'Start Here'!$B$6/24,1)</f>
        <v/>
      </c>
      <c r="T524" s="15" t="n"/>
      <c r="U524" s="15" t="n"/>
      <c r="V524" s="15" t="n"/>
      <c r="W524" s="15" t="n"/>
      <c r="X524" s="20" t="n"/>
      <c r="Y524" s="15" t="n"/>
    </row>
    <row r="525">
      <c r="A525" s="15" t="n">
        <v>524</v>
      </c>
      <c r="B525" s="16">
        <f>INT((A525-1)/7)+1</f>
        <v/>
      </c>
      <c r="C525" s="47">
        <f>'Start Here'!$B$5+A525-1</f>
        <v/>
      </c>
      <c r="D525" s="16">
        <f>TEXT(C525,"ddd")</f>
        <v/>
      </c>
      <c r="E525" s="15" t="inlineStr">
        <is>
          <t>Puzzle Saturday</t>
        </is>
      </c>
      <c r="F525" s="25" t="inlineStr">
        <is>
          <t>🧩 Puzzles &amp; Problem-Solving</t>
        </is>
      </c>
      <c r="G525" s="15" t="n">
        <v>75</v>
      </c>
      <c r="H525" s="15" t="inlineStr">
        <is>
          <t>Match the Animal to Its Food</t>
        </is>
      </c>
      <c r="I525" s="15" t="inlineStr">
        <is>
          <t>Match the Animal to Its Food 🧩 | Brain Games for Kids | Tiny Sparks</t>
        </is>
      </c>
      <c r="J525" s="15" t="inlineStr">
        <is>
          <t>3–5</t>
        </is>
      </c>
      <c r="K525" s="15" t="inlineStr">
        <is>
          <t>Short 9:16</t>
        </is>
      </c>
      <c r="L525" s="15" t="inlineStr">
        <is>
          <t>45–60 s</t>
        </is>
      </c>
      <c r="M525" s="15" t="inlineStr">
        <is>
          <t>Prof. Hoot + Leo + score strip</t>
        </is>
      </c>
      <c r="N525" s="15" t="inlineStr">
        <is>
          <t>Thinking skill: matching/classifying</t>
        </is>
      </c>
      <c r="O525" s="15" t="inlineStr">
        <is>
          <t>Yes</t>
        </is>
      </c>
      <c r="P525" s="15" t="inlineStr">
        <is>
          <t>P3</t>
        </is>
      </c>
      <c r="Q525" s="15" t="inlineStr">
        <is>
          <t>Idea</t>
        </is>
      </c>
      <c r="R525" s="48">
        <f>INDEX('Start Here'!$B$10:$B$16,WEEKDAY(C525,2))</f>
        <v/>
      </c>
      <c r="S525" s="48">
        <f>MOD(R525+'Start Here'!$B$6/24,1)</f>
        <v/>
      </c>
      <c r="T525" s="15" t="n"/>
      <c r="U525" s="15" t="n"/>
      <c r="V525" s="15" t="n"/>
      <c r="W525" s="15" t="n"/>
      <c r="X525" s="20" t="n"/>
      <c r="Y525" s="15" t="n"/>
    </row>
    <row r="526">
      <c r="A526" s="15" t="n">
        <v>525</v>
      </c>
      <c r="B526" s="16">
        <f>INT((A526-1)/7)+1</f>
        <v/>
      </c>
      <c r="C526" s="47">
        <f>'Start Here'!$B$5+A526-1</f>
        <v/>
      </c>
      <c r="D526" s="16">
        <f>TEXT(C526,"ddd")</f>
        <v/>
      </c>
      <c r="E526" s="15" t="inlineStr">
        <is>
          <t>Song Sunday</t>
        </is>
      </c>
      <c r="F526" s="26" t="inlineStr">
        <is>
          <t>🎵 Educational Songs</t>
        </is>
      </c>
      <c r="G526" s="15" t="n">
        <v>75</v>
      </c>
      <c r="H526" s="15" t="inlineStr">
        <is>
          <t>Ocean Song</t>
        </is>
      </c>
      <c r="I526" s="15" t="inlineStr">
        <is>
          <t>Ocean Song 🎵 | Kids Songs | Tiny Sparks</t>
        </is>
      </c>
      <c r="J526" s="15" t="inlineStr">
        <is>
          <t>3–5</t>
        </is>
      </c>
      <c r="K526" s="15" t="inlineStr">
        <is>
          <t>Long 16:9 + Short cut</t>
        </is>
      </c>
      <c r="L526" s="15" t="inlineStr">
        <is>
          <t>2–3 min (Short: 45 s chorus)</t>
        </is>
      </c>
      <c r="M526" s="15" t="inlineStr">
        <is>
          <t>Mila sings, all dance</t>
        </is>
      </c>
      <c r="N526" s="15" t="inlineStr">
        <is>
          <t>Sing &amp; learn: Ocean</t>
        </is>
      </c>
      <c r="O526" s="15" t="inlineStr">
        <is>
          <t>Yes</t>
        </is>
      </c>
      <c r="P526" s="15" t="inlineStr">
        <is>
          <t>P3</t>
        </is>
      </c>
      <c r="Q526" s="15" t="inlineStr">
        <is>
          <t>Idea</t>
        </is>
      </c>
      <c r="R526" s="48">
        <f>INDEX('Start Here'!$B$10:$B$16,WEEKDAY(C526,2))</f>
        <v/>
      </c>
      <c r="S526" s="48">
        <f>MOD(R526+'Start Here'!$B$6/24,1)</f>
        <v/>
      </c>
      <c r="T526" s="15" t="n"/>
      <c r="U526" s="15" t="n"/>
      <c r="V526" s="15" t="n"/>
      <c r="W526" s="15" t="n"/>
      <c r="X526" s="20" t="n"/>
      <c r="Y526" s="15" t="n"/>
    </row>
    <row r="527">
      <c r="A527" s="15" t="n">
        <v>526</v>
      </c>
      <c r="B527" s="16">
        <f>INT((A527-1)/7)+1</f>
        <v/>
      </c>
      <c r="C527" s="47">
        <f>'Start Here'!$B$5+A527-1</f>
        <v/>
      </c>
      <c r="D527" s="16">
        <f>TEXT(C527,"ddd")</f>
        <v/>
      </c>
      <c r="E527" s="15" t="inlineStr">
        <is>
          <t>Story Monday</t>
        </is>
      </c>
      <c r="F527" s="27" t="inlineStr">
        <is>
          <t>📚 Moral Stories</t>
        </is>
      </c>
      <c r="G527" s="15" t="n">
        <v>38</v>
      </c>
      <c r="H527" s="15" t="inlineStr">
        <is>
          <t>The Tiny Ant Who Saved the Forest</t>
        </is>
      </c>
      <c r="I527" s="15" t="inlineStr">
        <is>
          <t>The Tiny Ant Who Saved the Forest 📚 | Moral Stories for Kids | Tiny Sparks</t>
        </is>
      </c>
      <c r="J527" s="15" t="inlineStr">
        <is>
          <t>3–5</t>
        </is>
      </c>
      <c r="K527" s="15" t="inlineStr">
        <is>
          <t>Long 16:9 + Short teaser</t>
        </is>
      </c>
      <c r="L527" s="15" t="inlineStr">
        <is>
          <t>3–5 min (Short: 50 s)</t>
        </is>
      </c>
      <c r="M527" s="15" t="inlineStr">
        <is>
          <t>narrator + guest animals / Mila &amp; Leo</t>
        </is>
      </c>
      <c r="N527" s="15" t="inlineStr">
        <is>
          <t>Value: caring for the planet</t>
        </is>
      </c>
      <c r="O527" s="15" t="inlineStr">
        <is>
          <t>Build first: ant</t>
        </is>
      </c>
      <c r="P527" s="15" t="inlineStr">
        <is>
          <t>P3</t>
        </is>
      </c>
      <c r="Q527" s="15" t="inlineStr">
        <is>
          <t>Idea</t>
        </is>
      </c>
      <c r="R527" s="48">
        <f>INDEX('Start Here'!$B$10:$B$16,WEEKDAY(C527,2))</f>
        <v/>
      </c>
      <c r="S527" s="48">
        <f>MOD(R527+'Start Here'!$B$6/24,1)</f>
        <v/>
      </c>
      <c r="T527" s="15" t="n"/>
      <c r="U527" s="15" t="n"/>
      <c r="V527" s="15" t="n"/>
      <c r="W527" s="15" t="n"/>
      <c r="X527" s="20" t="n"/>
      <c r="Y527" s="15" t="n"/>
    </row>
    <row r="528">
      <c r="A528" s="15" t="n">
        <v>527</v>
      </c>
      <c r="B528" s="16">
        <f>INT((A528-1)/7)+1</f>
        <v/>
      </c>
      <c r="C528" s="47">
        <f>'Start Here'!$B$5+A528-1</f>
        <v/>
      </c>
      <c r="D528" s="16">
        <f>TEXT(C528,"ddd")</f>
        <v/>
      </c>
      <c r="E528" s="15" t="inlineStr">
        <is>
          <t>Math Tuesday</t>
        </is>
      </c>
      <c r="F528" s="21" t="inlineStr">
        <is>
          <t>🔢 Numbers &amp; Math</t>
        </is>
      </c>
      <c r="G528" s="15" t="n">
        <v>76</v>
      </c>
      <c r="H528" s="15" t="inlineStr">
        <is>
          <t>Math with Pizza</t>
        </is>
      </c>
      <c r="I528" s="15" t="inlineStr">
        <is>
          <t>Math with Pizza 🔢 | Learn Math for Kids | Tiny Sparks</t>
        </is>
      </c>
      <c r="J528" s="15" t="inlineStr">
        <is>
          <t>3–5</t>
        </is>
      </c>
      <c r="K528" s="15" t="inlineStr">
        <is>
          <t>Short 9:16</t>
        </is>
      </c>
      <c r="L528" s="15" t="inlineStr">
        <is>
          <t>45–60 s</t>
        </is>
      </c>
      <c r="M528" s="15" t="inlineStr">
        <is>
          <t>Bobo + Mila (counting fingers)</t>
        </is>
      </c>
      <c r="N528" s="15" t="inlineStr">
        <is>
          <t>Math: Math with Pizza</t>
        </is>
      </c>
      <c r="O528" s="15" t="inlineStr">
        <is>
          <t>Yes</t>
        </is>
      </c>
      <c r="P528" s="15" t="inlineStr">
        <is>
          <t>P3</t>
        </is>
      </c>
      <c r="Q528" s="15" t="inlineStr">
        <is>
          <t>Idea</t>
        </is>
      </c>
      <c r="R528" s="48">
        <f>INDEX('Start Here'!$B$10:$B$16,WEEKDAY(C528,2))</f>
        <v/>
      </c>
      <c r="S528" s="48">
        <f>MOD(R528+'Start Here'!$B$6/24,1)</f>
        <v/>
      </c>
      <c r="T528" s="15" t="n"/>
      <c r="U528" s="15" t="n"/>
      <c r="V528" s="15" t="n"/>
      <c r="W528" s="15" t="n"/>
      <c r="X528" s="20" t="n"/>
      <c r="Y528" s="15" t="n"/>
    </row>
    <row r="529">
      <c r="A529" s="15" t="n">
        <v>528</v>
      </c>
      <c r="B529" s="16">
        <f>INT((A529-1)/7)+1</f>
        <v/>
      </c>
      <c r="C529" s="47">
        <f>'Start Here'!$B$5+A529-1</f>
        <v/>
      </c>
      <c r="D529" s="16">
        <f>TEXT(C529,"ddd")</f>
        <v/>
      </c>
      <c r="E529" s="15" t="inlineStr">
        <is>
          <t>Word Wednesday</t>
        </is>
      </c>
      <c r="F529" s="22" t="inlineStr">
        <is>
          <t>🔤 English/French Words</t>
        </is>
      </c>
      <c r="G529" s="15" t="n">
        <v>76</v>
      </c>
      <c r="H529" s="15" t="inlineStr">
        <is>
          <t>Q–R Vocabulary</t>
        </is>
      </c>
      <c r="I529" s="15" t="inlineStr">
        <is>
          <t>Q–R Vocabulary 🔤 | Kids Vocabulary | Tiny Sparks</t>
        </is>
      </c>
      <c r="J529" s="15" t="inlineStr">
        <is>
          <t>3–5</t>
        </is>
      </c>
      <c r="K529" s="15" t="inlineStr">
        <is>
          <t>Short 9:16</t>
        </is>
      </c>
      <c r="L529" s="15" t="inlineStr">
        <is>
          <t>45–60 s</t>
        </is>
      </c>
      <c r="M529" s="15" t="inlineStr">
        <is>
          <t>Mila + French narrator</t>
        </is>
      </c>
      <c r="N529" s="15" t="inlineStr">
        <is>
          <t>Vocabulary EN→FR: Q–R Vocabulary</t>
        </is>
      </c>
      <c r="O529" s="15" t="inlineStr">
        <is>
          <t>Yes</t>
        </is>
      </c>
      <c r="P529" s="15" t="inlineStr">
        <is>
          <t>P3</t>
        </is>
      </c>
      <c r="Q529" s="15" t="inlineStr">
        <is>
          <t>Idea</t>
        </is>
      </c>
      <c r="R529" s="48">
        <f>INDEX('Start Here'!$B$10:$B$16,WEEKDAY(C529,2))</f>
        <v/>
      </c>
      <c r="S529" s="48">
        <f>MOD(R529+'Start Here'!$B$6/24,1)</f>
        <v/>
      </c>
      <c r="T529" s="15" t="n"/>
      <c r="U529" s="15" t="n"/>
      <c r="V529" s="15" t="n"/>
      <c r="W529" s="15" t="n"/>
      <c r="X529" s="20" t="n"/>
      <c r="Y529" s="15" t="n"/>
    </row>
    <row r="530">
      <c r="A530" s="15" t="n">
        <v>529</v>
      </c>
      <c r="B530" s="16">
        <f>INT((A530-1)/7)+1</f>
        <v/>
      </c>
      <c r="C530" s="47">
        <f>'Start Here'!$B$5+A530-1</f>
        <v/>
      </c>
      <c r="D530" s="16">
        <f>TEXT(C530,"ddd")</f>
        <v/>
      </c>
      <c r="E530" s="15" t="inlineStr">
        <is>
          <t>Animal Thursday</t>
        </is>
      </c>
      <c r="F530" s="23" t="inlineStr">
        <is>
          <t>🦁 Animal Stories</t>
        </is>
      </c>
      <c r="G530" s="15" t="n">
        <v>76</v>
      </c>
      <c r="H530" s="15" t="inlineStr">
        <is>
          <t>Animals Protect the Bees</t>
        </is>
      </c>
      <c r="I530" s="15" t="inlineStr">
        <is>
          <t>Animals Protect the Bees 🦁 | Animal Stories for Kids | Tiny Sparks</t>
        </is>
      </c>
      <c r="J530" s="15" t="inlineStr">
        <is>
          <t>3–5</t>
        </is>
      </c>
      <c r="K530" s="15" t="inlineStr">
        <is>
          <t>Long 16:9 + Short teaser</t>
        </is>
      </c>
      <c r="L530" s="15" t="inlineStr">
        <is>
          <t>3–5 min (Short: 50 s)</t>
        </is>
      </c>
      <c r="M530" s="15" t="inlineStr">
        <is>
          <t>guest animal(s) + Bobo</t>
        </is>
      </c>
      <c r="N530" s="15" t="inlineStr">
        <is>
          <t>Story + 3 true animal facts; value: friendship</t>
        </is>
      </c>
      <c r="O530" s="15" t="inlineStr">
        <is>
          <t>Build first: bees</t>
        </is>
      </c>
      <c r="P530" s="15" t="inlineStr">
        <is>
          <t>P3</t>
        </is>
      </c>
      <c r="Q530" s="15" t="inlineStr">
        <is>
          <t>Idea</t>
        </is>
      </c>
      <c r="R530" s="48">
        <f>INDEX('Start Here'!$B$10:$B$16,WEEKDAY(C530,2))</f>
        <v/>
      </c>
      <c r="S530" s="48">
        <f>MOD(R530+'Start Here'!$B$6/24,1)</f>
        <v/>
      </c>
      <c r="T530" s="15" t="n"/>
      <c r="U530" s="15" t="n"/>
      <c r="V530" s="15" t="n"/>
      <c r="W530" s="15" t="n"/>
      <c r="X530" s="20" t="n"/>
      <c r="Y530" s="15" t="n"/>
    </row>
    <row r="531">
      <c r="A531" s="15" t="n">
        <v>530</v>
      </c>
      <c r="B531" s="16">
        <f>INT((A531-1)/7)+1</f>
        <v/>
      </c>
      <c r="C531" s="47">
        <f>'Start Here'!$B$5+A531-1</f>
        <v/>
      </c>
      <c r="D531" s="16">
        <f>TEXT(C531,"ddd")</f>
        <v/>
      </c>
      <c r="E531" s="15" t="inlineStr">
        <is>
          <t>Science Friday</t>
        </is>
      </c>
      <c r="F531" s="24" t="inlineStr">
        <is>
          <t>🚀 Science for Kids</t>
        </is>
      </c>
      <c r="G531" s="15" t="n">
        <v>76</v>
      </c>
      <c r="H531" s="15" t="inlineStr">
        <is>
          <t>What Happens in Space?</t>
        </is>
      </c>
      <c r="I531" s="15" t="inlineStr">
        <is>
          <t>What Happens in Space? 🚀 | Science for Kids | Tiny Sparks</t>
        </is>
      </c>
      <c r="J531" s="15" t="inlineStr">
        <is>
          <t>6–8</t>
        </is>
      </c>
      <c r="K531" s="15" t="inlineStr">
        <is>
          <t>Short 9:16</t>
        </is>
      </c>
      <c r="L531" s="15" t="inlineStr">
        <is>
          <t>45–60 s</t>
        </is>
      </c>
      <c r="M531" s="15" t="inlineStr">
        <is>
          <t>Prof. Hoot + Leo (wrong guess) + Mila</t>
        </is>
      </c>
      <c r="N531" s="15" t="inlineStr">
        <is>
          <t>Answer simply: What Happens in Space?</t>
        </is>
      </c>
      <c r="O531" s="15" t="inlineStr">
        <is>
          <t>Yes</t>
        </is>
      </c>
      <c r="P531" s="15" t="inlineStr">
        <is>
          <t>P3</t>
        </is>
      </c>
      <c r="Q531" s="15" t="inlineStr">
        <is>
          <t>Idea</t>
        </is>
      </c>
      <c r="R531" s="48">
        <f>INDEX('Start Here'!$B$10:$B$16,WEEKDAY(C531,2))</f>
        <v/>
      </c>
      <c r="S531" s="48">
        <f>MOD(R531+'Start Here'!$B$6/24,1)</f>
        <v/>
      </c>
      <c r="T531" s="15" t="n"/>
      <c r="U531" s="15" t="n"/>
      <c r="V531" s="15" t="n"/>
      <c r="W531" s="15" t="n"/>
      <c r="X531" s="20" t="n"/>
      <c r="Y531" s="15" t="n"/>
    </row>
    <row r="532">
      <c r="A532" s="15" t="n">
        <v>531</v>
      </c>
      <c r="B532" s="16">
        <f>INT((A532-1)/7)+1</f>
        <v/>
      </c>
      <c r="C532" s="47">
        <f>'Start Here'!$B$5+A532-1</f>
        <v/>
      </c>
      <c r="D532" s="16">
        <f>TEXT(C532,"ddd")</f>
        <v/>
      </c>
      <c r="E532" s="15" t="inlineStr">
        <is>
          <t>Puzzle Saturday</t>
        </is>
      </c>
      <c r="F532" s="25" t="inlineStr">
        <is>
          <t>🧩 Puzzles &amp; Problem-Solving</t>
        </is>
      </c>
      <c r="G532" s="15" t="n">
        <v>76</v>
      </c>
      <c r="H532" s="15" t="inlineStr">
        <is>
          <t>Match the Baby Animal</t>
        </is>
      </c>
      <c r="I532" s="15" t="inlineStr">
        <is>
          <t>Match the Baby Animal 🧩 | Brain Games for Kids | Tiny Sparks</t>
        </is>
      </c>
      <c r="J532" s="15" t="inlineStr">
        <is>
          <t>3–5</t>
        </is>
      </c>
      <c r="K532" s="15" t="inlineStr">
        <is>
          <t>Short 9:16</t>
        </is>
      </c>
      <c r="L532" s="15" t="inlineStr">
        <is>
          <t>45–60 s</t>
        </is>
      </c>
      <c r="M532" s="15" t="inlineStr">
        <is>
          <t>Prof. Hoot + Leo + score strip</t>
        </is>
      </c>
      <c r="N532" s="15" t="inlineStr">
        <is>
          <t>Thinking skill: matching/classifying</t>
        </is>
      </c>
      <c r="O532" s="15" t="inlineStr">
        <is>
          <t>Build first: baby animal</t>
        </is>
      </c>
      <c r="P532" s="15" t="inlineStr">
        <is>
          <t>P3</t>
        </is>
      </c>
      <c r="Q532" s="15" t="inlineStr">
        <is>
          <t>Idea</t>
        </is>
      </c>
      <c r="R532" s="48">
        <f>INDEX('Start Here'!$B$10:$B$16,WEEKDAY(C532,2))</f>
        <v/>
      </c>
      <c r="S532" s="48">
        <f>MOD(R532+'Start Here'!$B$6/24,1)</f>
        <v/>
      </c>
      <c r="T532" s="15" t="n"/>
      <c r="U532" s="15" t="n"/>
      <c r="V532" s="15" t="n"/>
      <c r="W532" s="15" t="n"/>
      <c r="X532" s="20" t="n"/>
      <c r="Y532" s="15" t="n"/>
    </row>
    <row r="533">
      <c r="A533" s="15" t="n">
        <v>532</v>
      </c>
      <c r="B533" s="16">
        <f>INT((A533-1)/7)+1</f>
        <v/>
      </c>
      <c r="C533" s="47">
        <f>'Start Here'!$B$5+A533-1</f>
        <v/>
      </c>
      <c r="D533" s="16">
        <f>TEXT(C533,"ddd")</f>
        <v/>
      </c>
      <c r="E533" s="15" t="inlineStr">
        <is>
          <t>Song Sunday</t>
        </is>
      </c>
      <c r="F533" s="26" t="inlineStr">
        <is>
          <t>🎵 Educational Songs</t>
        </is>
      </c>
      <c r="G533" s="15" t="n">
        <v>76</v>
      </c>
      <c r="H533" s="15" t="inlineStr">
        <is>
          <t>Recycling Song</t>
        </is>
      </c>
      <c r="I533" s="15" t="inlineStr">
        <is>
          <t>Recycling Song 🎵 | Kids Songs | Tiny Sparks</t>
        </is>
      </c>
      <c r="J533" s="15" t="inlineStr">
        <is>
          <t>3–5</t>
        </is>
      </c>
      <c r="K533" s="15" t="inlineStr">
        <is>
          <t>Long 16:9 + Short cut</t>
        </is>
      </c>
      <c r="L533" s="15" t="inlineStr">
        <is>
          <t>2–3 min (Short: 45 s chorus)</t>
        </is>
      </c>
      <c r="M533" s="15" t="inlineStr">
        <is>
          <t>Mila sings, all dance</t>
        </is>
      </c>
      <c r="N533" s="15" t="inlineStr">
        <is>
          <t>Sing &amp; learn: Recycling</t>
        </is>
      </c>
      <c r="O533" s="15" t="inlineStr">
        <is>
          <t>Yes</t>
        </is>
      </c>
      <c r="P533" s="15" t="inlineStr">
        <is>
          <t>P3</t>
        </is>
      </c>
      <c r="Q533" s="15" t="inlineStr">
        <is>
          <t>Idea</t>
        </is>
      </c>
      <c r="R533" s="48">
        <f>INDEX('Start Here'!$B$10:$B$16,WEEKDAY(C533,2))</f>
        <v/>
      </c>
      <c r="S533" s="48">
        <f>MOD(R533+'Start Here'!$B$6/24,1)</f>
        <v/>
      </c>
      <c r="T533" s="15" t="n"/>
      <c r="U533" s="15" t="n"/>
      <c r="V533" s="15" t="n"/>
      <c r="W533" s="15" t="n"/>
      <c r="X533" s="20" t="n"/>
      <c r="Y533" s="15" t="n"/>
    </row>
    <row r="534">
      <c r="A534" s="15" t="n">
        <v>533</v>
      </c>
      <c r="B534" s="16">
        <f>INT((A534-1)/7)+1</f>
        <v/>
      </c>
      <c r="C534" s="47">
        <f>'Start Here'!$B$5+A534-1</f>
        <v/>
      </c>
      <c r="D534" s="16">
        <f>TEXT(C534,"ddd")</f>
        <v/>
      </c>
      <c r="E534" s="15" t="inlineStr">
        <is>
          <t>Story Monday</t>
        </is>
      </c>
      <c r="F534" s="18" t="inlineStr">
        <is>
          <t>🧠 Educational Stories</t>
        </is>
      </c>
      <c r="G534" s="15" t="n">
        <v>39</v>
      </c>
      <c r="H534" s="15" t="inlineStr">
        <is>
          <t>Emma Learns to Ask Questions</t>
        </is>
      </c>
      <c r="I534" s="15" t="inlineStr">
        <is>
          <t>Mila Learns to Ask Questions 🧠 | Kids Stories | Tiny Sparks</t>
        </is>
      </c>
      <c r="J534" s="15" t="inlineStr">
        <is>
          <t>6–8</t>
        </is>
      </c>
      <c r="K534" s="15" t="inlineStr">
        <is>
          <t>Long 16:9 + Short teaser</t>
        </is>
      </c>
      <c r="L534" s="15" t="inlineStr">
        <is>
          <t>3–5 min (Short: 50 s)</t>
        </is>
      </c>
      <c r="M534" s="15" t="inlineStr">
        <is>
          <t>Mila (lead) · Mila, Leo, Bobo + narrator</t>
        </is>
      </c>
      <c r="N534" s="15" t="inlineStr">
        <is>
          <t>Life skill: Ask Questions</t>
        </is>
      </c>
      <c r="O534" s="15" t="inlineStr">
        <is>
          <t>Yes</t>
        </is>
      </c>
      <c r="P534" s="15" t="inlineStr">
        <is>
          <t>P3</t>
        </is>
      </c>
      <c r="Q534" s="15" t="inlineStr">
        <is>
          <t>Idea</t>
        </is>
      </c>
      <c r="R534" s="48">
        <f>INDEX('Start Here'!$B$10:$B$16,WEEKDAY(C534,2))</f>
        <v/>
      </c>
      <c r="S534" s="48">
        <f>MOD(R534+'Start Here'!$B$6/24,1)</f>
        <v/>
      </c>
      <c r="T534" s="15" t="n"/>
      <c r="U534" s="15" t="n"/>
      <c r="V534" s="15" t="n"/>
      <c r="W534" s="15" t="n"/>
      <c r="X534" s="20" t="n"/>
      <c r="Y534" s="15" t="n"/>
    </row>
    <row r="535">
      <c r="A535" s="15" t="n">
        <v>534</v>
      </c>
      <c r="B535" s="16">
        <f>INT((A535-1)/7)+1</f>
        <v/>
      </c>
      <c r="C535" s="47">
        <f>'Start Here'!$B$5+A535-1</f>
        <v/>
      </c>
      <c r="D535" s="16">
        <f>TEXT(C535,"ddd")</f>
        <v/>
      </c>
      <c r="E535" s="15" t="inlineStr">
        <is>
          <t>Math Tuesday</t>
        </is>
      </c>
      <c r="F535" s="21" t="inlineStr">
        <is>
          <t>🔢 Numbers &amp; Math</t>
        </is>
      </c>
      <c r="G535" s="15" t="n">
        <v>77</v>
      </c>
      <c r="H535" s="15" t="inlineStr">
        <is>
          <t>Math with Candy</t>
        </is>
      </c>
      <c r="I535" s="15" t="inlineStr">
        <is>
          <t>Math with Candy 🔢 | Learn Math for Kids | Tiny Sparks</t>
        </is>
      </c>
      <c r="J535" s="15" t="inlineStr">
        <is>
          <t>3–5</t>
        </is>
      </c>
      <c r="K535" s="15" t="inlineStr">
        <is>
          <t>Short 9:16</t>
        </is>
      </c>
      <c r="L535" s="15" t="inlineStr">
        <is>
          <t>45–60 s</t>
        </is>
      </c>
      <c r="M535" s="15" t="inlineStr">
        <is>
          <t>Bobo + Mila (counting fingers)</t>
        </is>
      </c>
      <c r="N535" s="15" t="inlineStr">
        <is>
          <t>Math: Math with Candy</t>
        </is>
      </c>
      <c r="O535" s="15" t="inlineStr">
        <is>
          <t>Yes</t>
        </is>
      </c>
      <c r="P535" s="15" t="inlineStr">
        <is>
          <t>P3</t>
        </is>
      </c>
      <c r="Q535" s="15" t="inlineStr">
        <is>
          <t>Idea</t>
        </is>
      </c>
      <c r="R535" s="48">
        <f>INDEX('Start Here'!$B$10:$B$16,WEEKDAY(C535,2))</f>
        <v/>
      </c>
      <c r="S535" s="48">
        <f>MOD(R535+'Start Here'!$B$6/24,1)</f>
        <v/>
      </c>
      <c r="T535" s="15" t="n"/>
      <c r="U535" s="15" t="n"/>
      <c r="V535" s="15" t="n"/>
      <c r="W535" s="15" t="n"/>
      <c r="X535" s="20" t="n"/>
      <c r="Y535" s="15" t="n"/>
    </row>
    <row r="536">
      <c r="A536" s="15" t="n">
        <v>535</v>
      </c>
      <c r="B536" s="16">
        <f>INT((A536-1)/7)+1</f>
        <v/>
      </c>
      <c r="C536" s="47">
        <f>'Start Here'!$B$5+A536-1</f>
        <v/>
      </c>
      <c r="D536" s="16">
        <f>TEXT(C536,"ddd")</f>
        <v/>
      </c>
      <c r="E536" s="15" t="inlineStr">
        <is>
          <t>Word Wednesday</t>
        </is>
      </c>
      <c r="F536" s="22" t="inlineStr">
        <is>
          <t>🔤 English/French Words</t>
        </is>
      </c>
      <c r="G536" s="15" t="n">
        <v>77</v>
      </c>
      <c r="H536" s="15" t="inlineStr">
        <is>
          <t>S–T Vocabulary</t>
        </is>
      </c>
      <c r="I536" s="15" t="inlineStr">
        <is>
          <t>S–T Vocabulary 🔤 | Kids Vocabulary | Tiny Sparks</t>
        </is>
      </c>
      <c r="J536" s="15" t="inlineStr">
        <is>
          <t>3–5</t>
        </is>
      </c>
      <c r="K536" s="15" t="inlineStr">
        <is>
          <t>Short 9:16</t>
        </is>
      </c>
      <c r="L536" s="15" t="inlineStr">
        <is>
          <t>45–60 s</t>
        </is>
      </c>
      <c r="M536" s="15" t="inlineStr">
        <is>
          <t>Mila + French narrator</t>
        </is>
      </c>
      <c r="N536" s="15" t="inlineStr">
        <is>
          <t>Vocabulary EN→FR: S–T Vocabulary</t>
        </is>
      </c>
      <c r="O536" s="15" t="inlineStr">
        <is>
          <t>Yes</t>
        </is>
      </c>
      <c r="P536" s="15" t="inlineStr">
        <is>
          <t>P3</t>
        </is>
      </c>
      <c r="Q536" s="15" t="inlineStr">
        <is>
          <t>Idea</t>
        </is>
      </c>
      <c r="R536" s="48">
        <f>INDEX('Start Here'!$B$10:$B$16,WEEKDAY(C536,2))</f>
        <v/>
      </c>
      <c r="S536" s="48">
        <f>MOD(R536+'Start Here'!$B$6/24,1)</f>
        <v/>
      </c>
      <c r="T536" s="15" t="n"/>
      <c r="U536" s="15" t="n"/>
      <c r="V536" s="15" t="n"/>
      <c r="W536" s="15" t="n"/>
      <c r="X536" s="20" t="n"/>
      <c r="Y536" s="15" t="n"/>
    </row>
    <row r="537">
      <c r="A537" s="15" t="n">
        <v>536</v>
      </c>
      <c r="B537" s="16">
        <f>INT((A537-1)/7)+1</f>
        <v/>
      </c>
      <c r="C537" s="47">
        <f>'Start Here'!$B$5+A537-1</f>
        <v/>
      </c>
      <c r="D537" s="16">
        <f>TEXT(C537,"ddd")</f>
        <v/>
      </c>
      <c r="E537" s="15" t="inlineStr">
        <is>
          <t>Animal Thursday</t>
        </is>
      </c>
      <c r="F537" s="23" t="inlineStr">
        <is>
          <t>🦁 Animal Stories</t>
        </is>
      </c>
      <c r="G537" s="15" t="n">
        <v>77</v>
      </c>
      <c r="H537" s="15" t="inlineStr">
        <is>
          <t>Animals Help a Lost Baby</t>
        </is>
      </c>
      <c r="I537" s="15" t="inlineStr">
        <is>
          <t>Animals Help a Lost Baby 🦁 | Animal Stories for Kids | Tiny Sparks</t>
        </is>
      </c>
      <c r="J537" s="15" t="inlineStr">
        <is>
          <t>3–5</t>
        </is>
      </c>
      <c r="K537" s="15" t="inlineStr">
        <is>
          <t>Long 16:9 + Short teaser</t>
        </is>
      </c>
      <c r="L537" s="15" t="inlineStr">
        <is>
          <t>3–5 min (Short: 50 s)</t>
        </is>
      </c>
      <c r="M537" s="15" t="inlineStr">
        <is>
          <t>guest animal(s) + Bobo</t>
        </is>
      </c>
      <c r="N537" s="15" t="inlineStr">
        <is>
          <t>Story + 3 true animal facts; value: helping others</t>
        </is>
      </c>
      <c r="O537" s="15" t="inlineStr">
        <is>
          <t>Yes</t>
        </is>
      </c>
      <c r="P537" s="15" t="inlineStr">
        <is>
          <t>P3</t>
        </is>
      </c>
      <c r="Q537" s="15" t="inlineStr">
        <is>
          <t>Idea</t>
        </is>
      </c>
      <c r="R537" s="48">
        <f>INDEX('Start Here'!$B$10:$B$16,WEEKDAY(C537,2))</f>
        <v/>
      </c>
      <c r="S537" s="48">
        <f>MOD(R537+'Start Here'!$B$6/24,1)</f>
        <v/>
      </c>
      <c r="T537" s="15" t="n"/>
      <c r="U537" s="15" t="n"/>
      <c r="V537" s="15" t="n"/>
      <c r="W537" s="15" t="n"/>
      <c r="X537" s="20" t="n"/>
      <c r="Y537" s="15" t="n"/>
    </row>
    <row r="538">
      <c r="A538" s="15" t="n">
        <v>537</v>
      </c>
      <c r="B538" s="16">
        <f>INT((A538-1)/7)+1</f>
        <v/>
      </c>
      <c r="C538" s="47">
        <f>'Start Here'!$B$5+A538-1</f>
        <v/>
      </c>
      <c r="D538" s="16">
        <f>TEXT(C538,"ddd")</f>
        <v/>
      </c>
      <c r="E538" s="15" t="inlineStr">
        <is>
          <t>Science Friday</t>
        </is>
      </c>
      <c r="F538" s="24" t="inlineStr">
        <is>
          <t>🚀 Science for Kids</t>
        </is>
      </c>
      <c r="G538" s="15" t="n">
        <v>77</v>
      </c>
      <c r="H538" s="15" t="inlineStr">
        <is>
          <t>What Is a Robot?</t>
        </is>
      </c>
      <c r="I538" s="15" t="inlineStr">
        <is>
          <t>What Is a Robot? 🚀 | Science for Kids | Tiny Sparks</t>
        </is>
      </c>
      <c r="J538" s="15" t="inlineStr">
        <is>
          <t>3–5</t>
        </is>
      </c>
      <c r="K538" s="15" t="inlineStr">
        <is>
          <t>Short 9:16</t>
        </is>
      </c>
      <c r="L538" s="15" t="inlineStr">
        <is>
          <t>45–60 s</t>
        </is>
      </c>
      <c r="M538" s="15" t="inlineStr">
        <is>
          <t>Prof. Hoot + Leo (wrong guess) + Mila</t>
        </is>
      </c>
      <c r="N538" s="15" t="inlineStr">
        <is>
          <t>Answer simply: What Is a Robot?</t>
        </is>
      </c>
      <c r="O538" s="15" t="inlineStr">
        <is>
          <t>Build first: robot</t>
        </is>
      </c>
      <c r="P538" s="15" t="inlineStr">
        <is>
          <t>P3</t>
        </is>
      </c>
      <c r="Q538" s="15" t="inlineStr">
        <is>
          <t>Idea</t>
        </is>
      </c>
      <c r="R538" s="48">
        <f>INDEX('Start Here'!$B$10:$B$16,WEEKDAY(C538,2))</f>
        <v/>
      </c>
      <c r="S538" s="48">
        <f>MOD(R538+'Start Here'!$B$6/24,1)</f>
        <v/>
      </c>
      <c r="T538" s="15" t="n"/>
      <c r="U538" s="15" t="n"/>
      <c r="V538" s="15" t="n"/>
      <c r="W538" s="15" t="n"/>
      <c r="X538" s="20" t="n"/>
      <c r="Y538" s="15" t="n"/>
    </row>
    <row r="539">
      <c r="A539" s="15" t="n">
        <v>538</v>
      </c>
      <c r="B539" s="16">
        <f>INT((A539-1)/7)+1</f>
        <v/>
      </c>
      <c r="C539" s="47">
        <f>'Start Here'!$B$5+A539-1</f>
        <v/>
      </c>
      <c r="D539" s="16">
        <f>TEXT(C539,"ddd")</f>
        <v/>
      </c>
      <c r="E539" s="15" t="inlineStr">
        <is>
          <t>Puzzle Saturday</t>
        </is>
      </c>
      <c r="F539" s="25" t="inlineStr">
        <is>
          <t>🧩 Puzzles &amp; Problem-Solving</t>
        </is>
      </c>
      <c r="G539" s="15" t="n">
        <v>77</v>
      </c>
      <c r="H539" s="15" t="inlineStr">
        <is>
          <t>Match the Object to Its Use</t>
        </is>
      </c>
      <c r="I539" s="15" t="inlineStr">
        <is>
          <t>Match the Object to Its Use 🧩 | Brain Games for Kids | Tiny Sparks</t>
        </is>
      </c>
      <c r="J539" s="15" t="inlineStr">
        <is>
          <t>3–5</t>
        </is>
      </c>
      <c r="K539" s="15" t="inlineStr">
        <is>
          <t>Short 9:16</t>
        </is>
      </c>
      <c r="L539" s="15" t="inlineStr">
        <is>
          <t>45–60 s</t>
        </is>
      </c>
      <c r="M539" s="15" t="inlineStr">
        <is>
          <t>Prof. Hoot + Leo + score strip</t>
        </is>
      </c>
      <c r="N539" s="15" t="inlineStr">
        <is>
          <t>Thinking skill: matching/classifying</t>
        </is>
      </c>
      <c r="O539" s="15" t="inlineStr">
        <is>
          <t>Yes</t>
        </is>
      </c>
      <c r="P539" s="15" t="inlineStr">
        <is>
          <t>P3</t>
        </is>
      </c>
      <c r="Q539" s="15" t="inlineStr">
        <is>
          <t>Idea</t>
        </is>
      </c>
      <c r="R539" s="48">
        <f>INDEX('Start Here'!$B$10:$B$16,WEEKDAY(C539,2))</f>
        <v/>
      </c>
      <c r="S539" s="48">
        <f>MOD(R539+'Start Here'!$B$6/24,1)</f>
        <v/>
      </c>
      <c r="T539" s="15" t="n"/>
      <c r="U539" s="15" t="n"/>
      <c r="V539" s="15" t="n"/>
      <c r="W539" s="15" t="n"/>
      <c r="X539" s="20" t="n"/>
      <c r="Y539" s="15" t="n"/>
    </row>
    <row r="540">
      <c r="A540" s="15" t="n">
        <v>539</v>
      </c>
      <c r="B540" s="16">
        <f>INT((A540-1)/7)+1</f>
        <v/>
      </c>
      <c r="C540" s="47">
        <f>'Start Here'!$B$5+A540-1</f>
        <v/>
      </c>
      <c r="D540" s="16">
        <f>TEXT(C540,"ddd")</f>
        <v/>
      </c>
      <c r="E540" s="15" t="inlineStr">
        <is>
          <t>Song Sunday</t>
        </is>
      </c>
      <c r="F540" s="26" t="inlineStr">
        <is>
          <t>🎵 Educational Songs</t>
        </is>
      </c>
      <c r="G540" s="15" t="n">
        <v>77</v>
      </c>
      <c r="H540" s="15" t="inlineStr">
        <is>
          <t>Protect Nature Song</t>
        </is>
      </c>
      <c r="I540" s="15" t="inlineStr">
        <is>
          <t>Protect Nature Song 🎵 | Kids Songs | Tiny Sparks</t>
        </is>
      </c>
      <c r="J540" s="15" t="inlineStr">
        <is>
          <t>3–5</t>
        </is>
      </c>
      <c r="K540" s="15" t="inlineStr">
        <is>
          <t>Long 16:9 + Short cut</t>
        </is>
      </c>
      <c r="L540" s="15" t="inlineStr">
        <is>
          <t>2–3 min (Short: 45 s chorus)</t>
        </is>
      </c>
      <c r="M540" s="15" t="inlineStr">
        <is>
          <t>Mila sings, all dance</t>
        </is>
      </c>
      <c r="N540" s="15" t="inlineStr">
        <is>
          <t>Sing &amp; learn: Protect Nature</t>
        </is>
      </c>
      <c r="O540" s="15" t="inlineStr">
        <is>
          <t>Yes</t>
        </is>
      </c>
      <c r="P540" s="15" t="inlineStr">
        <is>
          <t>P3</t>
        </is>
      </c>
      <c r="Q540" s="15" t="inlineStr">
        <is>
          <t>Idea</t>
        </is>
      </c>
      <c r="R540" s="48">
        <f>INDEX('Start Here'!$B$10:$B$16,WEEKDAY(C540,2))</f>
        <v/>
      </c>
      <c r="S540" s="48">
        <f>MOD(R540+'Start Here'!$B$6/24,1)</f>
        <v/>
      </c>
      <c r="T540" s="15" t="n"/>
      <c r="U540" s="15" t="n"/>
      <c r="V540" s="15" t="n"/>
      <c r="W540" s="15" t="n"/>
      <c r="X540" s="20" t="n"/>
      <c r="Y540" s="15" t="n"/>
    </row>
    <row r="541">
      <c r="A541" s="15" t="n">
        <v>540</v>
      </c>
      <c r="B541" s="16">
        <f>INT((A541-1)/7)+1</f>
        <v/>
      </c>
      <c r="C541" s="47">
        <f>'Start Here'!$B$5+A541-1</f>
        <v/>
      </c>
      <c r="D541" s="16">
        <f>TEXT(C541,"ddd")</f>
        <v/>
      </c>
      <c r="E541" s="15" t="inlineStr">
        <is>
          <t>Story Monday</t>
        </is>
      </c>
      <c r="F541" s="27" t="inlineStr">
        <is>
          <t>📚 Moral Stories</t>
        </is>
      </c>
      <c r="G541" s="15" t="n">
        <v>39</v>
      </c>
      <c r="H541" s="15" t="inlineStr">
        <is>
          <t>The Bee Who Helped the Garden</t>
        </is>
      </c>
      <c r="I541" s="15" t="inlineStr">
        <is>
          <t>The Bee Who Helped the Garden 📚 | Moral Stories for Kids | Tiny Sparks</t>
        </is>
      </c>
      <c r="J541" s="15" t="inlineStr">
        <is>
          <t>3–5</t>
        </is>
      </c>
      <c r="K541" s="15" t="inlineStr">
        <is>
          <t>Long 16:9 + Short teaser</t>
        </is>
      </c>
      <c r="L541" s="15" t="inlineStr">
        <is>
          <t>3–5 min (Short: 50 s)</t>
        </is>
      </c>
      <c r="M541" s="15" t="inlineStr">
        <is>
          <t>narrator + guest animals / Mila &amp; Leo</t>
        </is>
      </c>
      <c r="N541" s="15" t="inlineStr">
        <is>
          <t>Value: helping others</t>
        </is>
      </c>
      <c r="O541" s="15" t="inlineStr">
        <is>
          <t>Build first: bee</t>
        </is>
      </c>
      <c r="P541" s="15" t="inlineStr">
        <is>
          <t>P3</t>
        </is>
      </c>
      <c r="Q541" s="15" t="inlineStr">
        <is>
          <t>Idea</t>
        </is>
      </c>
      <c r="R541" s="48">
        <f>INDEX('Start Here'!$B$10:$B$16,WEEKDAY(C541,2))</f>
        <v/>
      </c>
      <c r="S541" s="48">
        <f>MOD(R541+'Start Here'!$B$6/24,1)</f>
        <v/>
      </c>
      <c r="T541" s="15" t="n"/>
      <c r="U541" s="15" t="n"/>
      <c r="V541" s="15" t="n"/>
      <c r="W541" s="15" t="n"/>
      <c r="X541" s="20" t="n"/>
      <c r="Y541" s="15" t="n"/>
    </row>
    <row r="542">
      <c r="A542" s="15" t="n">
        <v>541</v>
      </c>
      <c r="B542" s="16">
        <f>INT((A542-1)/7)+1</f>
        <v/>
      </c>
      <c r="C542" s="47">
        <f>'Start Here'!$B$5+A542-1</f>
        <v/>
      </c>
      <c r="D542" s="16">
        <f>TEXT(C542,"ddd")</f>
        <v/>
      </c>
      <c r="E542" s="15" t="inlineStr">
        <is>
          <t>Math Tuesday</t>
        </is>
      </c>
      <c r="F542" s="21" t="inlineStr">
        <is>
          <t>🔢 Numbers &amp; Math</t>
        </is>
      </c>
      <c r="G542" s="15" t="n">
        <v>78</v>
      </c>
      <c r="H542" s="15" t="inlineStr">
        <is>
          <t>Math with Fruit</t>
        </is>
      </c>
      <c r="I542" s="15" t="inlineStr">
        <is>
          <t>Math with Fruit 🔢 | Learn Math for Kids | Tiny Sparks</t>
        </is>
      </c>
      <c r="J542" s="15" t="inlineStr">
        <is>
          <t>3–5</t>
        </is>
      </c>
      <c r="K542" s="15" t="inlineStr">
        <is>
          <t>Short 9:16</t>
        </is>
      </c>
      <c r="L542" s="15" t="inlineStr">
        <is>
          <t>45–60 s</t>
        </is>
      </c>
      <c r="M542" s="15" t="inlineStr">
        <is>
          <t>Bobo + Mila (counting fingers)</t>
        </is>
      </c>
      <c r="N542" s="15" t="inlineStr">
        <is>
          <t>Math: Math with Fruit</t>
        </is>
      </c>
      <c r="O542" s="15" t="inlineStr">
        <is>
          <t>Yes</t>
        </is>
      </c>
      <c r="P542" s="15" t="inlineStr">
        <is>
          <t>P3</t>
        </is>
      </c>
      <c r="Q542" s="15" t="inlineStr">
        <is>
          <t>Idea</t>
        </is>
      </c>
      <c r="R542" s="48">
        <f>INDEX('Start Here'!$B$10:$B$16,WEEKDAY(C542,2))</f>
        <v/>
      </c>
      <c r="S542" s="48">
        <f>MOD(R542+'Start Here'!$B$6/24,1)</f>
        <v/>
      </c>
      <c r="T542" s="15" t="n"/>
      <c r="U542" s="15" t="n"/>
      <c r="V542" s="15" t="n"/>
      <c r="W542" s="15" t="n"/>
      <c r="X542" s="20" t="n"/>
      <c r="Y542" s="15" t="n"/>
    </row>
    <row r="543">
      <c r="A543" s="15" t="n">
        <v>542</v>
      </c>
      <c r="B543" s="16">
        <f>INT((A543-1)/7)+1</f>
        <v/>
      </c>
      <c r="C543" s="47">
        <f>'Start Here'!$B$5+A543-1</f>
        <v/>
      </c>
      <c r="D543" s="16">
        <f>TEXT(C543,"ddd")</f>
        <v/>
      </c>
      <c r="E543" s="15" t="inlineStr">
        <is>
          <t>Word Wednesday</t>
        </is>
      </c>
      <c r="F543" s="22" t="inlineStr">
        <is>
          <t>🔤 English/French Words</t>
        </is>
      </c>
      <c r="G543" s="15" t="n">
        <v>78</v>
      </c>
      <c r="H543" s="15" t="inlineStr">
        <is>
          <t>U–V Vocabulary</t>
        </is>
      </c>
      <c r="I543" s="15" t="inlineStr">
        <is>
          <t>U–V Vocabulary 🔤 | Kids Vocabulary | Tiny Sparks</t>
        </is>
      </c>
      <c r="J543" s="15" t="inlineStr">
        <is>
          <t>3–5</t>
        </is>
      </c>
      <c r="K543" s="15" t="inlineStr">
        <is>
          <t>Short 9:16</t>
        </is>
      </c>
      <c r="L543" s="15" t="inlineStr">
        <is>
          <t>45–60 s</t>
        </is>
      </c>
      <c r="M543" s="15" t="inlineStr">
        <is>
          <t>Mila + French narrator</t>
        </is>
      </c>
      <c r="N543" s="15" t="inlineStr">
        <is>
          <t>Vocabulary EN→FR: U–V Vocabulary</t>
        </is>
      </c>
      <c r="O543" s="15" t="inlineStr">
        <is>
          <t>Yes</t>
        </is>
      </c>
      <c r="P543" s="15" t="inlineStr">
        <is>
          <t>P3</t>
        </is>
      </c>
      <c r="Q543" s="15" t="inlineStr">
        <is>
          <t>Idea</t>
        </is>
      </c>
      <c r="R543" s="48">
        <f>INDEX('Start Here'!$B$10:$B$16,WEEKDAY(C543,2))</f>
        <v/>
      </c>
      <c r="S543" s="48">
        <f>MOD(R543+'Start Here'!$B$6/24,1)</f>
        <v/>
      </c>
      <c r="T543" s="15" t="n"/>
      <c r="U543" s="15" t="n"/>
      <c r="V543" s="15" t="n"/>
      <c r="W543" s="15" t="n"/>
      <c r="X543" s="20" t="n"/>
      <c r="Y543" s="15" t="n"/>
    </row>
    <row r="544">
      <c r="A544" s="15" t="n">
        <v>543</v>
      </c>
      <c r="B544" s="16">
        <f>INT((A544-1)/7)+1</f>
        <v/>
      </c>
      <c r="C544" s="47">
        <f>'Start Here'!$B$5+A544-1</f>
        <v/>
      </c>
      <c r="D544" s="16">
        <f>TEXT(C544,"ddd")</f>
        <v/>
      </c>
      <c r="E544" s="15" t="inlineStr">
        <is>
          <t>Animal Thursday</t>
        </is>
      </c>
      <c r="F544" s="23" t="inlineStr">
        <is>
          <t>🦁 Animal Stories</t>
        </is>
      </c>
      <c r="G544" s="15" t="n">
        <v>78</v>
      </c>
      <c r="H544" s="15" t="inlineStr">
        <is>
          <t>Animals Prepare for Winter</t>
        </is>
      </c>
      <c r="I544" s="15" t="inlineStr">
        <is>
          <t>Animals Prepare for Winter 🦁 | Animal Stories for Kids | Tiny Sparks</t>
        </is>
      </c>
      <c r="J544" s="15" t="inlineStr">
        <is>
          <t>3–5</t>
        </is>
      </c>
      <c r="K544" s="15" t="inlineStr">
        <is>
          <t>Long 16:9 + Short teaser</t>
        </is>
      </c>
      <c r="L544" s="15" t="inlineStr">
        <is>
          <t>3–5 min (Short: 50 s)</t>
        </is>
      </c>
      <c r="M544" s="15" t="inlineStr">
        <is>
          <t>guest animal(s) + Bobo</t>
        </is>
      </c>
      <c r="N544" s="15" t="inlineStr">
        <is>
          <t>Story + 3 true animal facts; value: friendship</t>
        </is>
      </c>
      <c r="O544" s="15" t="inlineStr">
        <is>
          <t>Yes</t>
        </is>
      </c>
      <c r="P544" s="15" t="inlineStr">
        <is>
          <t>P3</t>
        </is>
      </c>
      <c r="Q544" s="15" t="inlineStr">
        <is>
          <t>Idea</t>
        </is>
      </c>
      <c r="R544" s="48">
        <f>INDEX('Start Here'!$B$10:$B$16,WEEKDAY(C544,2))</f>
        <v/>
      </c>
      <c r="S544" s="48">
        <f>MOD(R544+'Start Here'!$B$6/24,1)</f>
        <v/>
      </c>
      <c r="T544" s="15" t="n"/>
      <c r="U544" s="15" t="n"/>
      <c r="V544" s="15" t="n"/>
      <c r="W544" s="15" t="n"/>
      <c r="X544" s="20" t="n"/>
      <c r="Y544" s="15" t="n"/>
    </row>
    <row r="545">
      <c r="A545" s="15" t="n">
        <v>544</v>
      </c>
      <c r="B545" s="16">
        <f>INT((A545-1)/7)+1</f>
        <v/>
      </c>
      <c r="C545" s="47">
        <f>'Start Here'!$B$5+A545-1</f>
        <v/>
      </c>
      <c r="D545" s="16">
        <f>TEXT(C545,"ddd")</f>
        <v/>
      </c>
      <c r="E545" s="15" t="inlineStr">
        <is>
          <t>Science Friday</t>
        </is>
      </c>
      <c r="F545" s="24" t="inlineStr">
        <is>
          <t>🚀 Science for Kids</t>
        </is>
      </c>
      <c r="G545" s="15" t="n">
        <v>78</v>
      </c>
      <c r="H545" s="15" t="inlineStr">
        <is>
          <t>How Do Computers Work?</t>
        </is>
      </c>
      <c r="I545" s="15" t="inlineStr">
        <is>
          <t>How Do Computers Work? 🚀 | Science for Kids | Tiny Sparks</t>
        </is>
      </c>
      <c r="J545" s="15" t="inlineStr">
        <is>
          <t>6–8</t>
        </is>
      </c>
      <c r="K545" s="15" t="inlineStr">
        <is>
          <t>Short 9:16</t>
        </is>
      </c>
      <c r="L545" s="15" t="inlineStr">
        <is>
          <t>45–60 s</t>
        </is>
      </c>
      <c r="M545" s="15" t="inlineStr">
        <is>
          <t>Prof. Hoot + Leo (wrong guess) + Mila</t>
        </is>
      </c>
      <c r="N545" s="15" t="inlineStr">
        <is>
          <t>Answer simply: How Do Computers Work?</t>
        </is>
      </c>
      <c r="O545" s="15" t="inlineStr">
        <is>
          <t>Yes</t>
        </is>
      </c>
      <c r="P545" s="15" t="inlineStr">
        <is>
          <t>P3</t>
        </is>
      </c>
      <c r="Q545" s="15" t="inlineStr">
        <is>
          <t>Idea</t>
        </is>
      </c>
      <c r="R545" s="48">
        <f>INDEX('Start Here'!$B$10:$B$16,WEEKDAY(C545,2))</f>
        <v/>
      </c>
      <c r="S545" s="48">
        <f>MOD(R545+'Start Here'!$B$6/24,1)</f>
        <v/>
      </c>
      <c r="T545" s="15" t="n"/>
      <c r="U545" s="15" t="n"/>
      <c r="V545" s="15" t="n"/>
      <c r="W545" s="15" t="n"/>
      <c r="X545" s="20" t="n"/>
      <c r="Y545" s="15" t="n"/>
    </row>
    <row r="546">
      <c r="A546" s="15" t="n">
        <v>545</v>
      </c>
      <c r="B546" s="16">
        <f>INT((A546-1)/7)+1</f>
        <v/>
      </c>
      <c r="C546" s="47">
        <f>'Start Here'!$B$5+A546-1</f>
        <v/>
      </c>
      <c r="D546" s="16">
        <f>TEXT(C546,"ddd")</f>
        <v/>
      </c>
      <c r="E546" s="15" t="inlineStr">
        <is>
          <t>Puzzle Saturday</t>
        </is>
      </c>
      <c r="F546" s="25" t="inlineStr">
        <is>
          <t>🧩 Puzzles &amp; Problem-Solving</t>
        </is>
      </c>
      <c r="G546" s="15" t="n">
        <v>78</v>
      </c>
      <c r="H546" s="15" t="inlineStr">
        <is>
          <t>Match the Shape</t>
        </is>
      </c>
      <c r="I546" s="15" t="inlineStr">
        <is>
          <t>Match the Shape 🧩 | Brain Games for Kids | Tiny Sparks</t>
        </is>
      </c>
      <c r="J546" s="15" t="inlineStr">
        <is>
          <t>3–5</t>
        </is>
      </c>
      <c r="K546" s="15" t="inlineStr">
        <is>
          <t>Short 9:16</t>
        </is>
      </c>
      <c r="L546" s="15" t="inlineStr">
        <is>
          <t>45–60 s</t>
        </is>
      </c>
      <c r="M546" s="15" t="inlineStr">
        <is>
          <t>Prof. Hoot + Leo + score strip</t>
        </is>
      </c>
      <c r="N546" s="15" t="inlineStr">
        <is>
          <t>Thinking skill: matching/classifying</t>
        </is>
      </c>
      <c r="O546" s="15" t="inlineStr">
        <is>
          <t>Yes</t>
        </is>
      </c>
      <c r="P546" s="15" t="inlineStr">
        <is>
          <t>P3</t>
        </is>
      </c>
      <c r="Q546" s="15" t="inlineStr">
        <is>
          <t>Idea</t>
        </is>
      </c>
      <c r="R546" s="48">
        <f>INDEX('Start Here'!$B$10:$B$16,WEEKDAY(C546,2))</f>
        <v/>
      </c>
      <c r="S546" s="48">
        <f>MOD(R546+'Start Here'!$B$6/24,1)</f>
        <v/>
      </c>
      <c r="T546" s="15" t="n"/>
      <c r="U546" s="15" t="n"/>
      <c r="V546" s="15" t="n"/>
      <c r="W546" s="15" t="n"/>
      <c r="X546" s="20" t="n"/>
      <c r="Y546" s="15" t="n"/>
    </row>
    <row r="547">
      <c r="A547" s="15" t="n">
        <v>546</v>
      </c>
      <c r="B547" s="16">
        <f>INT((A547-1)/7)+1</f>
        <v/>
      </c>
      <c r="C547" s="47">
        <f>'Start Here'!$B$5+A547-1</f>
        <v/>
      </c>
      <c r="D547" s="16">
        <f>TEXT(C547,"ddd")</f>
        <v/>
      </c>
      <c r="E547" s="15" t="inlineStr">
        <is>
          <t>Song Sunday</t>
        </is>
      </c>
      <c r="F547" s="26" t="inlineStr">
        <is>
          <t>🎵 Educational Songs</t>
        </is>
      </c>
      <c r="G547" s="15" t="n">
        <v>78</v>
      </c>
      <c r="H547" s="15" t="inlineStr">
        <is>
          <t>Save the Trees Song</t>
        </is>
      </c>
      <c r="I547" s="15" t="inlineStr">
        <is>
          <t>Save the Trees Song 🎵 | Kids Songs | Tiny Sparks</t>
        </is>
      </c>
      <c r="J547" s="15" t="inlineStr">
        <is>
          <t>3–5</t>
        </is>
      </c>
      <c r="K547" s="15" t="inlineStr">
        <is>
          <t>Long 16:9 + Short cut</t>
        </is>
      </c>
      <c r="L547" s="15" t="inlineStr">
        <is>
          <t>2–3 min (Short: 45 s chorus)</t>
        </is>
      </c>
      <c r="M547" s="15" t="inlineStr">
        <is>
          <t>Mila sings, all dance</t>
        </is>
      </c>
      <c r="N547" s="15" t="inlineStr">
        <is>
          <t>Sing &amp; learn: Save the Trees</t>
        </is>
      </c>
      <c r="O547" s="15" t="inlineStr">
        <is>
          <t>Yes</t>
        </is>
      </c>
      <c r="P547" s="15" t="inlineStr">
        <is>
          <t>P3</t>
        </is>
      </c>
      <c r="Q547" s="15" t="inlineStr">
        <is>
          <t>Idea</t>
        </is>
      </c>
      <c r="R547" s="48">
        <f>INDEX('Start Here'!$B$10:$B$16,WEEKDAY(C547,2))</f>
        <v/>
      </c>
      <c r="S547" s="48">
        <f>MOD(R547+'Start Here'!$B$6/24,1)</f>
        <v/>
      </c>
      <c r="T547" s="15" t="n"/>
      <c r="U547" s="15" t="n"/>
      <c r="V547" s="15" t="n"/>
      <c r="W547" s="15" t="n"/>
      <c r="X547" s="20" t="n"/>
      <c r="Y547" s="15" t="n"/>
    </row>
    <row r="548">
      <c r="A548" s="15" t="n">
        <v>547</v>
      </c>
      <c r="B548" s="16">
        <f>INT((A548-1)/7)+1</f>
        <v/>
      </c>
      <c r="C548" s="47">
        <f>'Start Here'!$B$5+A548-1</f>
        <v/>
      </c>
      <c r="D548" s="16">
        <f>TEXT(C548,"ddd")</f>
        <v/>
      </c>
      <c r="E548" s="15" t="inlineStr">
        <is>
          <t>Story Monday</t>
        </is>
      </c>
      <c r="F548" s="18" t="inlineStr">
        <is>
          <t>🧠 Educational Stories</t>
        </is>
      </c>
      <c r="G548" s="15" t="n">
        <v>40</v>
      </c>
      <c r="H548" s="15" t="inlineStr">
        <is>
          <t>The Adventure of the Lost Puppy</t>
        </is>
      </c>
      <c r="I548" s="15" t="inlineStr">
        <is>
          <t>The Adventure of the Lost Puppy 🧠 | Kids Stories | Tiny Sparks</t>
        </is>
      </c>
      <c r="J548" s="15" t="inlineStr">
        <is>
          <t>3–5</t>
        </is>
      </c>
      <c r="K548" s="15" t="inlineStr">
        <is>
          <t>Long 16:9 + Short teaser</t>
        </is>
      </c>
      <c r="L548" s="15" t="inlineStr">
        <is>
          <t>3–5 min (Short: 50 s)</t>
        </is>
      </c>
      <c r="M548" s="15" t="inlineStr">
        <is>
          <t>Mila, Leo, Bobo + narrator</t>
        </is>
      </c>
      <c r="N548" s="15" t="inlineStr">
        <is>
          <t>Curiosity + problem solving</t>
        </is>
      </c>
      <c r="O548" s="15" t="inlineStr">
        <is>
          <t>Build first: puppy</t>
        </is>
      </c>
      <c r="P548" s="15" t="inlineStr">
        <is>
          <t>P3</t>
        </is>
      </c>
      <c r="Q548" s="15" t="inlineStr">
        <is>
          <t>Idea</t>
        </is>
      </c>
      <c r="R548" s="48">
        <f>INDEX('Start Here'!$B$10:$B$16,WEEKDAY(C548,2))</f>
        <v/>
      </c>
      <c r="S548" s="48">
        <f>MOD(R548+'Start Here'!$B$6/24,1)</f>
        <v/>
      </c>
      <c r="T548" s="15" t="n"/>
      <c r="U548" s="15" t="n"/>
      <c r="V548" s="15" t="n"/>
      <c r="W548" s="15" t="n"/>
      <c r="X548" s="20" t="n"/>
      <c r="Y548" s="15" t="n"/>
    </row>
    <row r="549">
      <c r="A549" s="15" t="n">
        <v>548</v>
      </c>
      <c r="B549" s="16">
        <f>INT((A549-1)/7)+1</f>
        <v/>
      </c>
      <c r="C549" s="47">
        <f>'Start Here'!$B$5+A549-1</f>
        <v/>
      </c>
      <c r="D549" s="16">
        <f>TEXT(C549,"ddd")</f>
        <v/>
      </c>
      <c r="E549" s="15" t="inlineStr">
        <is>
          <t>Math Tuesday</t>
        </is>
      </c>
      <c r="F549" s="21" t="inlineStr">
        <is>
          <t>🔢 Numbers &amp; Math</t>
        </is>
      </c>
      <c r="G549" s="15" t="n">
        <v>79</v>
      </c>
      <c r="H549" s="15" t="inlineStr">
        <is>
          <t>Math at the Supermarket</t>
        </is>
      </c>
      <c r="I549" s="15" t="inlineStr">
        <is>
          <t>Math at the Supermarket 🔢 | Learn Math for Kids | Tiny Sparks</t>
        </is>
      </c>
      <c r="J549" s="15" t="inlineStr">
        <is>
          <t>3–5</t>
        </is>
      </c>
      <c r="K549" s="15" t="inlineStr">
        <is>
          <t>Short 9:16</t>
        </is>
      </c>
      <c r="L549" s="15" t="inlineStr">
        <is>
          <t>45–60 s</t>
        </is>
      </c>
      <c r="M549" s="15" t="inlineStr">
        <is>
          <t>Bobo + Mila (counting fingers)</t>
        </is>
      </c>
      <c r="N549" s="15" t="inlineStr">
        <is>
          <t>Math: Math at the Supermarket</t>
        </is>
      </c>
      <c r="O549" s="15" t="inlineStr">
        <is>
          <t>Yes</t>
        </is>
      </c>
      <c r="P549" s="15" t="inlineStr">
        <is>
          <t>P3</t>
        </is>
      </c>
      <c r="Q549" s="15" t="inlineStr">
        <is>
          <t>Idea</t>
        </is>
      </c>
      <c r="R549" s="48">
        <f>INDEX('Start Here'!$B$10:$B$16,WEEKDAY(C549,2))</f>
        <v/>
      </c>
      <c r="S549" s="48">
        <f>MOD(R549+'Start Here'!$B$6/24,1)</f>
        <v/>
      </c>
      <c r="T549" s="15" t="n"/>
      <c r="U549" s="15" t="n"/>
      <c r="V549" s="15" t="n"/>
      <c r="W549" s="15" t="n"/>
      <c r="X549" s="20" t="n"/>
      <c r="Y549" s="15" t="n"/>
    </row>
    <row r="550">
      <c r="A550" s="15" t="n">
        <v>549</v>
      </c>
      <c r="B550" s="16">
        <f>INT((A550-1)/7)+1</f>
        <v/>
      </c>
      <c r="C550" s="47">
        <f>'Start Here'!$B$5+A550-1</f>
        <v/>
      </c>
      <c r="D550" s="16">
        <f>TEXT(C550,"ddd")</f>
        <v/>
      </c>
      <c r="E550" s="15" t="inlineStr">
        <is>
          <t>Word Wednesday</t>
        </is>
      </c>
      <c r="F550" s="22" t="inlineStr">
        <is>
          <t>🔤 English/French Words</t>
        </is>
      </c>
      <c r="G550" s="15" t="n">
        <v>79</v>
      </c>
      <c r="H550" s="15" t="inlineStr">
        <is>
          <t>W–X–Y–Z Vocabulary</t>
        </is>
      </c>
      <c r="I550" s="15" t="inlineStr">
        <is>
          <t>W–X–Y–Z Vocabulary 🔤 | Kids Vocabulary | Tiny Sparks</t>
        </is>
      </c>
      <c r="J550" s="15" t="inlineStr">
        <is>
          <t>3–5</t>
        </is>
      </c>
      <c r="K550" s="15" t="inlineStr">
        <is>
          <t>Short 9:16</t>
        </is>
      </c>
      <c r="L550" s="15" t="inlineStr">
        <is>
          <t>45–60 s</t>
        </is>
      </c>
      <c r="M550" s="15" t="inlineStr">
        <is>
          <t>Mila + French narrator</t>
        </is>
      </c>
      <c r="N550" s="15" t="inlineStr">
        <is>
          <t>Vocabulary EN→FR: W–X–Y–Z Vocabulary</t>
        </is>
      </c>
      <c r="O550" s="15" t="inlineStr">
        <is>
          <t>Yes</t>
        </is>
      </c>
      <c r="P550" s="15" t="inlineStr">
        <is>
          <t>P3</t>
        </is>
      </c>
      <c r="Q550" s="15" t="inlineStr">
        <is>
          <t>Idea</t>
        </is>
      </c>
      <c r="R550" s="48">
        <f>INDEX('Start Here'!$B$10:$B$16,WEEKDAY(C550,2))</f>
        <v/>
      </c>
      <c r="S550" s="48">
        <f>MOD(R550+'Start Here'!$B$6/24,1)</f>
        <v/>
      </c>
      <c r="T550" s="15" t="n"/>
      <c r="U550" s="15" t="n"/>
      <c r="V550" s="15" t="n"/>
      <c r="W550" s="15" t="n"/>
      <c r="X550" s="20" t="n"/>
      <c r="Y550" s="15" t="n"/>
    </row>
    <row r="551">
      <c r="A551" s="15" t="n">
        <v>550</v>
      </c>
      <c r="B551" s="16">
        <f>INT((A551-1)/7)+1</f>
        <v/>
      </c>
      <c r="C551" s="47">
        <f>'Start Here'!$B$5+A551-1</f>
        <v/>
      </c>
      <c r="D551" s="16">
        <f>TEXT(C551,"ddd")</f>
        <v/>
      </c>
      <c r="E551" s="15" t="inlineStr">
        <is>
          <t>Animal Thursday</t>
        </is>
      </c>
      <c r="F551" s="23" t="inlineStr">
        <is>
          <t>🦁 Animal Stories</t>
        </is>
      </c>
      <c r="G551" s="15" t="n">
        <v>79</v>
      </c>
      <c r="H551" s="15" t="inlineStr">
        <is>
          <t>Animals Prepare for a Storm</t>
        </is>
      </c>
      <c r="I551" s="15" t="inlineStr">
        <is>
          <t>Animals Prepare for a Storm 🦁 | Animal Stories for Kids | Tiny Sparks</t>
        </is>
      </c>
      <c r="J551" s="15" t="inlineStr">
        <is>
          <t>3–5</t>
        </is>
      </c>
      <c r="K551" s="15" t="inlineStr">
        <is>
          <t>Long 16:9 + Short teaser</t>
        </is>
      </c>
      <c r="L551" s="15" t="inlineStr">
        <is>
          <t>3–5 min (Short: 50 s)</t>
        </is>
      </c>
      <c r="M551" s="15" t="inlineStr">
        <is>
          <t>guest animal(s) + Bobo</t>
        </is>
      </c>
      <c r="N551" s="15" t="inlineStr">
        <is>
          <t>Story + 3 true animal facts; value: friendship</t>
        </is>
      </c>
      <c r="O551" s="15" t="inlineStr">
        <is>
          <t>Yes</t>
        </is>
      </c>
      <c r="P551" s="15" t="inlineStr">
        <is>
          <t>P3</t>
        </is>
      </c>
      <c r="Q551" s="15" t="inlineStr">
        <is>
          <t>Idea</t>
        </is>
      </c>
      <c r="R551" s="48">
        <f>INDEX('Start Here'!$B$10:$B$16,WEEKDAY(C551,2))</f>
        <v/>
      </c>
      <c r="S551" s="48">
        <f>MOD(R551+'Start Here'!$B$6/24,1)</f>
        <v/>
      </c>
      <c r="T551" s="15" t="n"/>
      <c r="U551" s="15" t="n"/>
      <c r="V551" s="15" t="n"/>
      <c r="W551" s="15" t="n"/>
      <c r="X551" s="20" t="n"/>
      <c r="Y551" s="15" t="n"/>
    </row>
    <row r="552">
      <c r="A552" s="15" t="n">
        <v>551</v>
      </c>
      <c r="B552" s="16">
        <f>INT((A552-1)/7)+1</f>
        <v/>
      </c>
      <c r="C552" s="47">
        <f>'Start Here'!$B$5+A552-1</f>
        <v/>
      </c>
      <c r="D552" s="16">
        <f>TEXT(C552,"ddd")</f>
        <v/>
      </c>
      <c r="E552" s="15" t="inlineStr">
        <is>
          <t>Science Friday</t>
        </is>
      </c>
      <c r="F552" s="24" t="inlineStr">
        <is>
          <t>🚀 Science for Kids</t>
        </is>
      </c>
      <c r="G552" s="15" t="n">
        <v>79</v>
      </c>
      <c r="H552" s="15" t="inlineStr">
        <is>
          <t>What Is Artificial Intelligence?</t>
        </is>
      </c>
      <c r="I552" s="15" t="inlineStr">
        <is>
          <t>What Is Artificial Intelligence? 🚀 | Science for Kids | Tiny Sparks</t>
        </is>
      </c>
      <c r="J552" s="15" t="inlineStr">
        <is>
          <t>9–12</t>
        </is>
      </c>
      <c r="K552" s="15" t="inlineStr">
        <is>
          <t>Short 9:16</t>
        </is>
      </c>
      <c r="L552" s="15" t="inlineStr">
        <is>
          <t>45–60 s</t>
        </is>
      </c>
      <c r="M552" s="15" t="inlineStr">
        <is>
          <t>Prof. Hoot + Leo (wrong guess) + Mila</t>
        </is>
      </c>
      <c r="N552" s="15" t="inlineStr">
        <is>
          <t>Answer simply: What Is Artificial Intelligence?</t>
        </is>
      </c>
      <c r="O552" s="15" t="inlineStr">
        <is>
          <t>Yes</t>
        </is>
      </c>
      <c r="P552" s="15" t="inlineStr">
        <is>
          <t>P3</t>
        </is>
      </c>
      <c r="Q552" s="15" t="inlineStr">
        <is>
          <t>Idea</t>
        </is>
      </c>
      <c r="R552" s="48">
        <f>INDEX('Start Here'!$B$10:$B$16,WEEKDAY(C552,2))</f>
        <v/>
      </c>
      <c r="S552" s="48">
        <f>MOD(R552+'Start Here'!$B$6/24,1)</f>
        <v/>
      </c>
      <c r="T552" s="15" t="n"/>
      <c r="U552" s="15" t="n"/>
      <c r="V552" s="15" t="n"/>
      <c r="W552" s="15" t="n"/>
      <c r="X552" s="20" t="n"/>
      <c r="Y552" s="15" t="n"/>
    </row>
    <row r="553">
      <c r="A553" s="15" t="n">
        <v>552</v>
      </c>
      <c r="B553" s="16">
        <f>INT((A553-1)/7)+1</f>
        <v/>
      </c>
      <c r="C553" s="47">
        <f>'Start Here'!$B$5+A553-1</f>
        <v/>
      </c>
      <c r="D553" s="16">
        <f>TEXT(C553,"ddd")</f>
        <v/>
      </c>
      <c r="E553" s="15" t="inlineStr">
        <is>
          <t>Puzzle Saturday</t>
        </is>
      </c>
      <c r="F553" s="25" t="inlineStr">
        <is>
          <t>🧩 Puzzles &amp; Problem-Solving</t>
        </is>
      </c>
      <c r="G553" s="15" t="n">
        <v>79</v>
      </c>
      <c r="H553" s="15" t="inlineStr">
        <is>
          <t>Match the Color</t>
        </is>
      </c>
      <c r="I553" s="15" t="inlineStr">
        <is>
          <t>Match the Color 🧩 | Brain Games for Kids | Tiny Sparks</t>
        </is>
      </c>
      <c r="J553" s="15" t="inlineStr">
        <is>
          <t>3–5</t>
        </is>
      </c>
      <c r="K553" s="15" t="inlineStr">
        <is>
          <t>Short 9:16</t>
        </is>
      </c>
      <c r="L553" s="15" t="inlineStr">
        <is>
          <t>45–60 s</t>
        </is>
      </c>
      <c r="M553" s="15" t="inlineStr">
        <is>
          <t>Prof. Hoot + Leo + score strip</t>
        </is>
      </c>
      <c r="N553" s="15" t="inlineStr">
        <is>
          <t>Thinking skill: matching/classifying</t>
        </is>
      </c>
      <c r="O553" s="15" t="inlineStr">
        <is>
          <t>Yes</t>
        </is>
      </c>
      <c r="P553" s="15" t="inlineStr">
        <is>
          <t>P3</t>
        </is>
      </c>
      <c r="Q553" s="15" t="inlineStr">
        <is>
          <t>Idea</t>
        </is>
      </c>
      <c r="R553" s="48">
        <f>INDEX('Start Here'!$B$10:$B$16,WEEKDAY(C553,2))</f>
        <v/>
      </c>
      <c r="S553" s="48">
        <f>MOD(R553+'Start Here'!$B$6/24,1)</f>
        <v/>
      </c>
      <c r="T553" s="15" t="n"/>
      <c r="U553" s="15" t="n"/>
      <c r="V553" s="15" t="n"/>
      <c r="W553" s="15" t="n"/>
      <c r="X553" s="20" t="n"/>
      <c r="Y553" s="15" t="n"/>
    </row>
    <row r="554">
      <c r="A554" s="15" t="n">
        <v>553</v>
      </c>
      <c r="B554" s="16">
        <f>INT((A554-1)/7)+1</f>
        <v/>
      </c>
      <c r="C554" s="47">
        <f>'Start Here'!$B$5+A554-1</f>
        <v/>
      </c>
      <c r="D554" s="16">
        <f>TEXT(C554,"ddd")</f>
        <v/>
      </c>
      <c r="E554" s="15" t="inlineStr">
        <is>
          <t>Song Sunday</t>
        </is>
      </c>
      <c r="F554" s="26" t="inlineStr">
        <is>
          <t>🎵 Educational Songs</t>
        </is>
      </c>
      <c r="G554" s="15" t="n">
        <v>79</v>
      </c>
      <c r="H554" s="15" t="inlineStr">
        <is>
          <t>Love the Animals Song</t>
        </is>
      </c>
      <c r="I554" s="15" t="inlineStr">
        <is>
          <t>Love the Animals Song 🎵 | Kids Songs | Tiny Sparks</t>
        </is>
      </c>
      <c r="J554" s="15" t="inlineStr">
        <is>
          <t>3–5</t>
        </is>
      </c>
      <c r="K554" s="15" t="inlineStr">
        <is>
          <t>Long 16:9 + Short cut</t>
        </is>
      </c>
      <c r="L554" s="15" t="inlineStr">
        <is>
          <t>2–3 min (Short: 45 s chorus)</t>
        </is>
      </c>
      <c r="M554" s="15" t="inlineStr">
        <is>
          <t>Mila sings, all dance</t>
        </is>
      </c>
      <c r="N554" s="15" t="inlineStr">
        <is>
          <t>Sing &amp; learn: Love the Animals</t>
        </is>
      </c>
      <c r="O554" s="15" t="inlineStr">
        <is>
          <t>Yes</t>
        </is>
      </c>
      <c r="P554" s="15" t="inlineStr">
        <is>
          <t>P3</t>
        </is>
      </c>
      <c r="Q554" s="15" t="inlineStr">
        <is>
          <t>Idea</t>
        </is>
      </c>
      <c r="R554" s="48">
        <f>INDEX('Start Here'!$B$10:$B$16,WEEKDAY(C554,2))</f>
        <v/>
      </c>
      <c r="S554" s="48">
        <f>MOD(R554+'Start Here'!$B$6/24,1)</f>
        <v/>
      </c>
      <c r="T554" s="15" t="n"/>
      <c r="U554" s="15" t="n"/>
      <c r="V554" s="15" t="n"/>
      <c r="W554" s="15" t="n"/>
      <c r="X554" s="20" t="n"/>
      <c r="Y554" s="15" t="n"/>
    </row>
    <row r="555">
      <c r="A555" s="15" t="n">
        <v>554</v>
      </c>
      <c r="B555" s="16">
        <f>INT((A555-1)/7)+1</f>
        <v/>
      </c>
      <c r="C555" s="47">
        <f>'Start Here'!$B$5+A555-1</f>
        <v/>
      </c>
      <c r="D555" s="16">
        <f>TEXT(C555,"ddd")</f>
        <v/>
      </c>
      <c r="E555" s="15" t="inlineStr">
        <is>
          <t>Story Monday</t>
        </is>
      </c>
      <c r="F555" s="27" t="inlineStr">
        <is>
          <t>📚 Moral Stories</t>
        </is>
      </c>
      <c r="G555" s="15" t="n">
        <v>40</v>
      </c>
      <c r="H555" s="15" t="inlineStr">
        <is>
          <t>The Spider Who Never Gave Up</t>
        </is>
      </c>
      <c r="I555" s="15" t="inlineStr">
        <is>
          <t>The Spider Who Never Gave Up 📚 | Moral Stories for Kids | Tiny Sparks</t>
        </is>
      </c>
      <c r="J555" s="15" t="inlineStr">
        <is>
          <t>3–5</t>
        </is>
      </c>
      <c r="K555" s="15" t="inlineStr">
        <is>
          <t>Long 16:9 + Short teaser</t>
        </is>
      </c>
      <c r="L555" s="15" t="inlineStr">
        <is>
          <t>3–5 min (Short: 50 s)</t>
        </is>
      </c>
      <c r="M555" s="15" t="inlineStr">
        <is>
          <t>narrator + guest animals / Mila &amp; Leo</t>
        </is>
      </c>
      <c r="N555" s="15" t="inlineStr">
        <is>
          <t>Value: perseverance</t>
        </is>
      </c>
      <c r="O555" s="15" t="inlineStr">
        <is>
          <t>Build first: spider</t>
        </is>
      </c>
      <c r="P555" s="15" t="inlineStr">
        <is>
          <t>P3</t>
        </is>
      </c>
      <c r="Q555" s="15" t="inlineStr">
        <is>
          <t>Idea</t>
        </is>
      </c>
      <c r="R555" s="48">
        <f>INDEX('Start Here'!$B$10:$B$16,WEEKDAY(C555,2))</f>
        <v/>
      </c>
      <c r="S555" s="48">
        <f>MOD(R555+'Start Here'!$B$6/24,1)</f>
        <v/>
      </c>
      <c r="T555" s="15" t="n"/>
      <c r="U555" s="15" t="n"/>
      <c r="V555" s="15" t="n"/>
      <c r="W555" s="15" t="n"/>
      <c r="X555" s="20" t="n"/>
      <c r="Y555" s="15" t="n"/>
    </row>
    <row r="556">
      <c r="A556" s="15" t="n">
        <v>555</v>
      </c>
      <c r="B556" s="16">
        <f>INT((A556-1)/7)+1</f>
        <v/>
      </c>
      <c r="C556" s="47">
        <f>'Start Here'!$B$5+A556-1</f>
        <v/>
      </c>
      <c r="D556" s="16">
        <f>TEXT(C556,"ddd")</f>
        <v/>
      </c>
      <c r="E556" s="15" t="inlineStr">
        <is>
          <t>Math Tuesday</t>
        </is>
      </c>
      <c r="F556" s="21" t="inlineStr">
        <is>
          <t>🔢 Numbers &amp; Math</t>
        </is>
      </c>
      <c r="G556" s="15" t="n">
        <v>80</v>
      </c>
      <c r="H556" s="15" t="inlineStr">
        <is>
          <t>Math at the Zoo</t>
        </is>
      </c>
      <c r="I556" s="15" t="inlineStr">
        <is>
          <t>Math at the Zoo 🔢 | Learn Math for Kids | Tiny Sparks</t>
        </is>
      </c>
      <c r="J556" s="15" t="inlineStr">
        <is>
          <t>3–5</t>
        </is>
      </c>
      <c r="K556" s="15" t="inlineStr">
        <is>
          <t>Short 9:16</t>
        </is>
      </c>
      <c r="L556" s="15" t="inlineStr">
        <is>
          <t>45–60 s</t>
        </is>
      </c>
      <c r="M556" s="15" t="inlineStr">
        <is>
          <t>Bobo + Mila (counting fingers)</t>
        </is>
      </c>
      <c r="N556" s="15" t="inlineStr">
        <is>
          <t>Math: Math at the Zoo</t>
        </is>
      </c>
      <c r="O556" s="15" t="inlineStr">
        <is>
          <t>Yes</t>
        </is>
      </c>
      <c r="P556" s="15" t="inlineStr">
        <is>
          <t>P3</t>
        </is>
      </c>
      <c r="Q556" s="15" t="inlineStr">
        <is>
          <t>Idea</t>
        </is>
      </c>
      <c r="R556" s="48">
        <f>INDEX('Start Here'!$B$10:$B$16,WEEKDAY(C556,2))</f>
        <v/>
      </c>
      <c r="S556" s="48">
        <f>MOD(R556+'Start Here'!$B$6/24,1)</f>
        <v/>
      </c>
      <c r="T556" s="15" t="n"/>
      <c r="U556" s="15" t="n"/>
      <c r="V556" s="15" t="n"/>
      <c r="W556" s="15" t="n"/>
      <c r="X556" s="20" t="n"/>
      <c r="Y556" s="15" t="n"/>
    </row>
    <row r="557">
      <c r="A557" s="15" t="n">
        <v>556</v>
      </c>
      <c r="B557" s="16">
        <f>INT((A557-1)/7)+1</f>
        <v/>
      </c>
      <c r="C557" s="47">
        <f>'Start Here'!$B$5+A557-1</f>
        <v/>
      </c>
      <c r="D557" s="16">
        <f>TEXT(C557,"ddd")</f>
        <v/>
      </c>
      <c r="E557" s="15" t="inlineStr">
        <is>
          <t>Word Wednesday</t>
        </is>
      </c>
      <c r="F557" s="22" t="inlineStr">
        <is>
          <t>🔤 English/French Words</t>
        </is>
      </c>
      <c r="G557" s="15" t="n">
        <v>80</v>
      </c>
      <c r="H557" s="15" t="inlineStr">
        <is>
          <t>20 English Food Words</t>
        </is>
      </c>
      <c r="I557" s="15" t="inlineStr">
        <is>
          <t>20 English Food Words 🔤 | Kids Vocabulary | Tiny Sparks</t>
        </is>
      </c>
      <c r="J557" s="15" t="inlineStr">
        <is>
          <t>3–5</t>
        </is>
      </c>
      <c r="K557" s="15" t="inlineStr">
        <is>
          <t>Long 16:9</t>
        </is>
      </c>
      <c r="L557" s="15" t="inlineStr">
        <is>
          <t>4–8 min</t>
        </is>
      </c>
      <c r="M557" s="15" t="inlineStr">
        <is>
          <t>Mila + French narrator</t>
        </is>
      </c>
      <c r="N557" s="15" t="inlineStr">
        <is>
          <t>Vocabulary EN→FR: 20 English Food Words</t>
        </is>
      </c>
      <c r="O557" s="15" t="inlineStr">
        <is>
          <t>Yes</t>
        </is>
      </c>
      <c r="P557" s="15" t="inlineStr">
        <is>
          <t>P3</t>
        </is>
      </c>
      <c r="Q557" s="15" t="inlineStr">
        <is>
          <t>Idea</t>
        </is>
      </c>
      <c r="R557" s="48">
        <f>INDEX('Start Here'!$B$10:$B$16,WEEKDAY(C557,2))</f>
        <v/>
      </c>
      <c r="S557" s="48">
        <f>MOD(R557+'Start Here'!$B$6/24,1)</f>
        <v/>
      </c>
      <c r="T557" s="15" t="n"/>
      <c r="U557" s="15" t="n"/>
      <c r="V557" s="15" t="n"/>
      <c r="W557" s="15" t="n"/>
      <c r="X557" s="20" t="n"/>
      <c r="Y557" s="15" t="n"/>
    </row>
    <row r="558">
      <c r="A558" s="15" t="n">
        <v>557</v>
      </c>
      <c r="B558" s="16">
        <f>INT((A558-1)/7)+1</f>
        <v/>
      </c>
      <c r="C558" s="47">
        <f>'Start Here'!$B$5+A558-1</f>
        <v/>
      </c>
      <c r="D558" s="16">
        <f>TEXT(C558,"ddd")</f>
        <v/>
      </c>
      <c r="E558" s="15" t="inlineStr">
        <is>
          <t>Animal Thursday</t>
        </is>
      </c>
      <c r="F558" s="23" t="inlineStr">
        <is>
          <t>🦁 Animal Stories</t>
        </is>
      </c>
      <c r="G558" s="15" t="n">
        <v>80</v>
      </c>
      <c r="H558" s="15" t="inlineStr">
        <is>
          <t>Animals Discover Recycling</t>
        </is>
      </c>
      <c r="I558" s="15" t="inlineStr">
        <is>
          <t>Animals Discover Recycling 🦁 | Animal Stories for Kids | Tiny Sparks</t>
        </is>
      </c>
      <c r="J558" s="15" t="inlineStr">
        <is>
          <t>3–5</t>
        </is>
      </c>
      <c r="K558" s="15" t="inlineStr">
        <is>
          <t>Long 16:9 + Short teaser</t>
        </is>
      </c>
      <c r="L558" s="15" t="inlineStr">
        <is>
          <t>3–5 min (Short: 50 s)</t>
        </is>
      </c>
      <c r="M558" s="15" t="inlineStr">
        <is>
          <t>guest animal(s) + Bobo</t>
        </is>
      </c>
      <c r="N558" s="15" t="inlineStr">
        <is>
          <t>Story + 3 true animal facts; value: friendship</t>
        </is>
      </c>
      <c r="O558" s="15" t="inlineStr">
        <is>
          <t>Yes</t>
        </is>
      </c>
      <c r="P558" s="15" t="inlineStr">
        <is>
          <t>P3</t>
        </is>
      </c>
      <c r="Q558" s="15" t="inlineStr">
        <is>
          <t>Idea</t>
        </is>
      </c>
      <c r="R558" s="48">
        <f>INDEX('Start Here'!$B$10:$B$16,WEEKDAY(C558,2))</f>
        <v/>
      </c>
      <c r="S558" s="48">
        <f>MOD(R558+'Start Here'!$B$6/24,1)</f>
        <v/>
      </c>
      <c r="T558" s="15" t="n"/>
      <c r="U558" s="15" t="n"/>
      <c r="V558" s="15" t="n"/>
      <c r="W558" s="15" t="n"/>
      <c r="X558" s="20" t="n"/>
      <c r="Y558" s="15" t="n"/>
    </row>
    <row r="559">
      <c r="A559" s="15" t="n">
        <v>558</v>
      </c>
      <c r="B559" s="16">
        <f>INT((A559-1)/7)+1</f>
        <v/>
      </c>
      <c r="C559" s="47">
        <f>'Start Here'!$B$5+A559-1</f>
        <v/>
      </c>
      <c r="D559" s="16">
        <f>TEXT(C559,"ddd")</f>
        <v/>
      </c>
      <c r="E559" s="15" t="inlineStr">
        <is>
          <t>Science Friday</t>
        </is>
      </c>
      <c r="F559" s="24" t="inlineStr">
        <is>
          <t>🚀 Science for Kids</t>
        </is>
      </c>
      <c r="G559" s="15" t="n">
        <v>80</v>
      </c>
      <c r="H559" s="15" t="inlineStr">
        <is>
          <t>How Does the Internet Work?</t>
        </is>
      </c>
      <c r="I559" s="15" t="inlineStr">
        <is>
          <t>How Does the Internet Work? 🚀 | Science for Kids | Tiny Sparks</t>
        </is>
      </c>
      <c r="J559" s="15" t="inlineStr">
        <is>
          <t>9–12</t>
        </is>
      </c>
      <c r="K559" s="15" t="inlineStr">
        <is>
          <t>Short 9:16</t>
        </is>
      </c>
      <c r="L559" s="15" t="inlineStr">
        <is>
          <t>45–60 s</t>
        </is>
      </c>
      <c r="M559" s="15" t="inlineStr">
        <is>
          <t>Prof. Hoot + Leo (wrong guess) + Mila</t>
        </is>
      </c>
      <c r="N559" s="15" t="inlineStr">
        <is>
          <t>Answer simply: How Does the Internet Work?</t>
        </is>
      </c>
      <c r="O559" s="15" t="inlineStr">
        <is>
          <t>Yes</t>
        </is>
      </c>
      <c r="P559" s="15" t="inlineStr">
        <is>
          <t>P3</t>
        </is>
      </c>
      <c r="Q559" s="15" t="inlineStr">
        <is>
          <t>Idea</t>
        </is>
      </c>
      <c r="R559" s="48">
        <f>INDEX('Start Here'!$B$10:$B$16,WEEKDAY(C559,2))</f>
        <v/>
      </c>
      <c r="S559" s="48">
        <f>MOD(R559+'Start Here'!$B$6/24,1)</f>
        <v/>
      </c>
      <c r="T559" s="15" t="n"/>
      <c r="U559" s="15" t="n"/>
      <c r="V559" s="15" t="n"/>
      <c r="W559" s="15" t="n"/>
      <c r="X559" s="20" t="n"/>
      <c r="Y559" s="15" t="n"/>
    </row>
    <row r="560">
      <c r="A560" s="15" t="n">
        <v>559</v>
      </c>
      <c r="B560" s="16">
        <f>INT((A560-1)/7)+1</f>
        <v/>
      </c>
      <c r="C560" s="47">
        <f>'Start Here'!$B$5+A560-1</f>
        <v/>
      </c>
      <c r="D560" s="16">
        <f>TEXT(C560,"ddd")</f>
        <v/>
      </c>
      <c r="E560" s="15" t="inlineStr">
        <is>
          <t>Puzzle Saturday</t>
        </is>
      </c>
      <c r="F560" s="25" t="inlineStr">
        <is>
          <t>🧩 Puzzles &amp; Problem-Solving</t>
        </is>
      </c>
      <c r="G560" s="15" t="n">
        <v>80</v>
      </c>
      <c r="H560" s="15" t="inlineStr">
        <is>
          <t>Match the Number</t>
        </is>
      </c>
      <c r="I560" s="15" t="inlineStr">
        <is>
          <t>Match the Number 🧩 | Brain Games for Kids | Tiny Sparks</t>
        </is>
      </c>
      <c r="J560" s="15" t="inlineStr">
        <is>
          <t>3–5</t>
        </is>
      </c>
      <c r="K560" s="15" t="inlineStr">
        <is>
          <t>Short 9:16</t>
        </is>
      </c>
      <c r="L560" s="15" t="inlineStr">
        <is>
          <t>45–60 s</t>
        </is>
      </c>
      <c r="M560" s="15" t="inlineStr">
        <is>
          <t>Prof. Hoot + Leo + score strip</t>
        </is>
      </c>
      <c r="N560" s="15" t="inlineStr">
        <is>
          <t>Thinking skill: matching/classifying</t>
        </is>
      </c>
      <c r="O560" s="15" t="inlineStr">
        <is>
          <t>Yes</t>
        </is>
      </c>
      <c r="P560" s="15" t="inlineStr">
        <is>
          <t>P3</t>
        </is>
      </c>
      <c r="Q560" s="15" t="inlineStr">
        <is>
          <t>Idea</t>
        </is>
      </c>
      <c r="R560" s="48">
        <f>INDEX('Start Here'!$B$10:$B$16,WEEKDAY(C560,2))</f>
        <v/>
      </c>
      <c r="S560" s="48">
        <f>MOD(R560+'Start Here'!$B$6/24,1)</f>
        <v/>
      </c>
      <c r="T560" s="15" t="n"/>
      <c r="U560" s="15" t="n"/>
      <c r="V560" s="15" t="n"/>
      <c r="W560" s="15" t="n"/>
      <c r="X560" s="20" t="n"/>
      <c r="Y560" s="15" t="n"/>
    </row>
    <row r="561">
      <c r="A561" s="15" t="n">
        <v>560</v>
      </c>
      <c r="B561" s="16">
        <f>INT((A561-1)/7)+1</f>
        <v/>
      </c>
      <c r="C561" s="47">
        <f>'Start Here'!$B$5+A561-1</f>
        <v/>
      </c>
      <c r="D561" s="16">
        <f>TEXT(C561,"ddd")</f>
        <v/>
      </c>
      <c r="E561" s="15" t="inlineStr">
        <is>
          <t>Song Sunday</t>
        </is>
      </c>
      <c r="F561" s="26" t="inlineStr">
        <is>
          <t>🎵 Educational Songs</t>
        </is>
      </c>
      <c r="G561" s="15" t="n">
        <v>80</v>
      </c>
      <c r="H561" s="15" t="inlineStr">
        <is>
          <t>Clean Planet Song</t>
        </is>
      </c>
      <c r="I561" s="15" t="inlineStr">
        <is>
          <t>Clean Planet Song 🎵 | Kids Songs | Tiny Sparks</t>
        </is>
      </c>
      <c r="J561" s="15" t="inlineStr">
        <is>
          <t>6–8</t>
        </is>
      </c>
      <c r="K561" s="15" t="inlineStr">
        <is>
          <t>Long 16:9 + Short cut</t>
        </is>
      </c>
      <c r="L561" s="15" t="inlineStr">
        <is>
          <t>2–3 min (Short: 45 s chorus)</t>
        </is>
      </c>
      <c r="M561" s="15" t="inlineStr">
        <is>
          <t>Mila sings, all dance</t>
        </is>
      </c>
      <c r="N561" s="15" t="inlineStr">
        <is>
          <t>Sing &amp; learn: Clean Planet</t>
        </is>
      </c>
      <c r="O561" s="15" t="inlineStr">
        <is>
          <t>Yes</t>
        </is>
      </c>
      <c r="P561" s="15" t="inlineStr">
        <is>
          <t>P3</t>
        </is>
      </c>
      <c r="Q561" s="15" t="inlineStr">
        <is>
          <t>Idea</t>
        </is>
      </c>
      <c r="R561" s="48">
        <f>INDEX('Start Here'!$B$10:$B$16,WEEKDAY(C561,2))</f>
        <v/>
      </c>
      <c r="S561" s="48">
        <f>MOD(R561+'Start Here'!$B$6/24,1)</f>
        <v/>
      </c>
      <c r="T561" s="15" t="n"/>
      <c r="U561" s="15" t="n"/>
      <c r="V561" s="15" t="n"/>
      <c r="W561" s="15" t="n"/>
      <c r="X561" s="20" t="n"/>
      <c r="Y561" s="15" t="n"/>
    </row>
    <row r="562">
      <c r="A562" s="15" t="n">
        <v>561</v>
      </c>
      <c r="B562" s="16">
        <f>INT((A562-1)/7)+1</f>
        <v/>
      </c>
      <c r="C562" s="47">
        <f>'Start Here'!$B$5+A562-1</f>
        <v/>
      </c>
      <c r="D562" s="16">
        <f>TEXT(C562,"ddd")</f>
        <v/>
      </c>
      <c r="E562" s="15" t="inlineStr">
        <is>
          <t>Story Monday</t>
        </is>
      </c>
      <c r="F562" s="18" t="inlineStr">
        <is>
          <t>🧠 Educational Stories</t>
        </is>
      </c>
      <c r="G562" s="15" t="n">
        <v>41</v>
      </c>
      <c r="H562" s="15" t="inlineStr">
        <is>
          <t>Sara Learns About Different Cultures</t>
        </is>
      </c>
      <c r="I562" s="15" t="inlineStr">
        <is>
          <t>Mila Learns About Different Cultures 🧠 | Kids Stories | Tiny Sparks</t>
        </is>
      </c>
      <c r="J562" s="15" t="inlineStr">
        <is>
          <t>6–8</t>
        </is>
      </c>
      <c r="K562" s="15" t="inlineStr">
        <is>
          <t>Long 16:9 + Short teaser</t>
        </is>
      </c>
      <c r="L562" s="15" t="inlineStr">
        <is>
          <t>3–5 min (Short: 50 s)</t>
        </is>
      </c>
      <c r="M562" s="15" t="inlineStr">
        <is>
          <t>Mila (lead) · Mila, Leo, Bobo + narrator</t>
        </is>
      </c>
      <c r="N562" s="15" t="inlineStr">
        <is>
          <t>Life skill: Different Cultures</t>
        </is>
      </c>
      <c r="O562" s="15" t="inlineStr">
        <is>
          <t>Yes</t>
        </is>
      </c>
      <c r="P562" s="15" t="inlineStr">
        <is>
          <t>P3</t>
        </is>
      </c>
      <c r="Q562" s="15" t="inlineStr">
        <is>
          <t>Idea</t>
        </is>
      </c>
      <c r="R562" s="48">
        <f>INDEX('Start Here'!$B$10:$B$16,WEEKDAY(C562,2))</f>
        <v/>
      </c>
      <c r="S562" s="48">
        <f>MOD(R562+'Start Here'!$B$6/24,1)</f>
        <v/>
      </c>
      <c r="T562" s="15" t="n"/>
      <c r="U562" s="15" t="n"/>
      <c r="V562" s="15" t="n"/>
      <c r="W562" s="15" t="n"/>
      <c r="X562" s="20" t="n"/>
      <c r="Y562" s="15" t="n"/>
    </row>
    <row r="563">
      <c r="A563" s="15" t="n">
        <v>562</v>
      </c>
      <c r="B563" s="16">
        <f>INT((A563-1)/7)+1</f>
        <v/>
      </c>
      <c r="C563" s="47">
        <f>'Start Here'!$B$5+A563-1</f>
        <v/>
      </c>
      <c r="D563" s="16">
        <f>TEXT(C563,"ddd")</f>
        <v/>
      </c>
      <c r="E563" s="15" t="inlineStr">
        <is>
          <t>Math Tuesday</t>
        </is>
      </c>
      <c r="F563" s="21" t="inlineStr">
        <is>
          <t>🔢 Numbers &amp; Math</t>
        </is>
      </c>
      <c r="G563" s="15" t="n">
        <v>81</v>
      </c>
      <c r="H563" s="15" t="inlineStr">
        <is>
          <t>Math at the Playground</t>
        </is>
      </c>
      <c r="I563" s="15" t="inlineStr">
        <is>
          <t>Math at the Playground 🔢 | Learn Math for Kids | Tiny Sparks</t>
        </is>
      </c>
      <c r="J563" s="15" t="inlineStr">
        <is>
          <t>3–5</t>
        </is>
      </c>
      <c r="K563" s="15" t="inlineStr">
        <is>
          <t>Short 9:16</t>
        </is>
      </c>
      <c r="L563" s="15" t="inlineStr">
        <is>
          <t>45–60 s</t>
        </is>
      </c>
      <c r="M563" s="15" t="inlineStr">
        <is>
          <t>Bobo + Mila (counting fingers)</t>
        </is>
      </c>
      <c r="N563" s="15" t="inlineStr">
        <is>
          <t>Math: Math at the Playground</t>
        </is>
      </c>
      <c r="O563" s="15" t="inlineStr">
        <is>
          <t>Yes</t>
        </is>
      </c>
      <c r="P563" s="15" t="inlineStr">
        <is>
          <t>P3</t>
        </is>
      </c>
      <c r="Q563" s="15" t="inlineStr">
        <is>
          <t>Idea</t>
        </is>
      </c>
      <c r="R563" s="48">
        <f>INDEX('Start Here'!$B$10:$B$16,WEEKDAY(C563,2))</f>
        <v/>
      </c>
      <c r="S563" s="48">
        <f>MOD(R563+'Start Here'!$B$6/24,1)</f>
        <v/>
      </c>
      <c r="T563" s="15" t="n"/>
      <c r="U563" s="15" t="n"/>
      <c r="V563" s="15" t="n"/>
      <c r="W563" s="15" t="n"/>
      <c r="X563" s="20" t="n"/>
      <c r="Y563" s="15" t="n"/>
    </row>
    <row r="564">
      <c r="A564" s="15" t="n">
        <v>563</v>
      </c>
      <c r="B564" s="16">
        <f>INT((A564-1)/7)+1</f>
        <v/>
      </c>
      <c r="C564" s="47">
        <f>'Start Here'!$B$5+A564-1</f>
        <v/>
      </c>
      <c r="D564" s="16">
        <f>TEXT(C564,"ddd")</f>
        <v/>
      </c>
      <c r="E564" s="15" t="inlineStr">
        <is>
          <t>Word Wednesday</t>
        </is>
      </c>
      <c r="F564" s="22" t="inlineStr">
        <is>
          <t>🔤 English/French Words</t>
        </is>
      </c>
      <c r="G564" s="15" t="n">
        <v>81</v>
      </c>
      <c r="H564" s="15" t="inlineStr">
        <is>
          <t>20 French Food Words</t>
        </is>
      </c>
      <c r="I564" s="15" t="inlineStr">
        <is>
          <t>20 French Food Words 🔤 | Kids Vocabulary | Tiny Sparks</t>
        </is>
      </c>
      <c r="J564" s="15" t="inlineStr">
        <is>
          <t>3–5</t>
        </is>
      </c>
      <c r="K564" s="15" t="inlineStr">
        <is>
          <t>Long 16:9</t>
        </is>
      </c>
      <c r="L564" s="15" t="inlineStr">
        <is>
          <t>4–8 min</t>
        </is>
      </c>
      <c r="M564" s="15" t="inlineStr">
        <is>
          <t>Mila + French narrator</t>
        </is>
      </c>
      <c r="N564" s="15" t="inlineStr">
        <is>
          <t>Vocabulary EN→FR: 20 French Food Words</t>
        </is>
      </c>
      <c r="O564" s="15" t="inlineStr">
        <is>
          <t>Yes</t>
        </is>
      </c>
      <c r="P564" s="15" t="inlineStr">
        <is>
          <t>P3</t>
        </is>
      </c>
      <c r="Q564" s="15" t="inlineStr">
        <is>
          <t>Idea</t>
        </is>
      </c>
      <c r="R564" s="48">
        <f>INDEX('Start Here'!$B$10:$B$16,WEEKDAY(C564,2))</f>
        <v/>
      </c>
      <c r="S564" s="48">
        <f>MOD(R564+'Start Here'!$B$6/24,1)</f>
        <v/>
      </c>
      <c r="T564" s="15" t="n"/>
      <c r="U564" s="15" t="n"/>
      <c r="V564" s="15" t="n"/>
      <c r="W564" s="15" t="n"/>
      <c r="X564" s="20" t="n"/>
      <c r="Y564" s="15" t="n"/>
    </row>
    <row r="565">
      <c r="A565" s="15" t="n">
        <v>564</v>
      </c>
      <c r="B565" s="16">
        <f>INT((A565-1)/7)+1</f>
        <v/>
      </c>
      <c r="C565" s="47">
        <f>'Start Here'!$B$5+A565-1</f>
        <v/>
      </c>
      <c r="D565" s="16">
        <f>TEXT(C565,"ddd")</f>
        <v/>
      </c>
      <c r="E565" s="15" t="inlineStr">
        <is>
          <t>Animal Thursday</t>
        </is>
      </c>
      <c r="F565" s="23" t="inlineStr">
        <is>
          <t>🦁 Animal Stories</t>
        </is>
      </c>
      <c r="G565" s="15" t="n">
        <v>81</v>
      </c>
      <c r="H565" s="15" t="inlineStr">
        <is>
          <t>The Magic Forest Door</t>
        </is>
      </c>
      <c r="I565" s="15" t="inlineStr">
        <is>
          <t>The Magic Forest Door 🦁 | Animal Stories for Kids | Tiny Sparks</t>
        </is>
      </c>
      <c r="J565" s="15" t="inlineStr">
        <is>
          <t>3–5</t>
        </is>
      </c>
      <c r="K565" s="15" t="inlineStr">
        <is>
          <t>Long 16:9 + Short teaser</t>
        </is>
      </c>
      <c r="L565" s="15" t="inlineStr">
        <is>
          <t>3–5 min (Short: 50 s)</t>
        </is>
      </c>
      <c r="M565" s="15" t="inlineStr">
        <is>
          <t>guest animal(s) + Bobo</t>
        </is>
      </c>
      <c r="N565" s="15" t="inlineStr">
        <is>
          <t>Story + 3 true animal facts; value: caring for the planet</t>
        </is>
      </c>
      <c r="O565" s="15" t="inlineStr">
        <is>
          <t>Yes</t>
        </is>
      </c>
      <c r="P565" s="15" t="inlineStr">
        <is>
          <t>P3</t>
        </is>
      </c>
      <c r="Q565" s="15" t="inlineStr">
        <is>
          <t>Idea</t>
        </is>
      </c>
      <c r="R565" s="48">
        <f>INDEX('Start Here'!$B$10:$B$16,WEEKDAY(C565,2))</f>
        <v/>
      </c>
      <c r="S565" s="48">
        <f>MOD(R565+'Start Here'!$B$6/24,1)</f>
        <v/>
      </c>
      <c r="T565" s="15" t="n"/>
      <c r="U565" s="15" t="n"/>
      <c r="V565" s="15" t="n"/>
      <c r="W565" s="15" t="n"/>
      <c r="X565" s="20" t="n"/>
      <c r="Y565" s="15" t="n"/>
    </row>
    <row r="566">
      <c r="A566" s="15" t="n">
        <v>565</v>
      </c>
      <c r="B566" s="16">
        <f>INT((A566-1)/7)+1</f>
        <v/>
      </c>
      <c r="C566" s="47">
        <f>'Start Here'!$B$5+A566-1</f>
        <v/>
      </c>
      <c r="D566" s="16">
        <f>TEXT(C566,"ddd")</f>
        <v/>
      </c>
      <c r="E566" s="15" t="inlineStr">
        <is>
          <t>Science Friday</t>
        </is>
      </c>
      <c r="F566" s="24" t="inlineStr">
        <is>
          <t>🚀 Science for Kids</t>
        </is>
      </c>
      <c r="G566" s="15" t="n">
        <v>81</v>
      </c>
      <c r="H566" s="15" t="inlineStr">
        <is>
          <t>What Is Electricity?</t>
        </is>
      </c>
      <c r="I566" s="15" t="inlineStr">
        <is>
          <t>What Is Electricity? 🚀 | Science for Kids | Tiny Sparks</t>
        </is>
      </c>
      <c r="J566" s="15" t="inlineStr">
        <is>
          <t>9–12</t>
        </is>
      </c>
      <c r="K566" s="15" t="inlineStr">
        <is>
          <t>Short 9:16</t>
        </is>
      </c>
      <c r="L566" s="15" t="inlineStr">
        <is>
          <t>45–60 s</t>
        </is>
      </c>
      <c r="M566" s="15" t="inlineStr">
        <is>
          <t>Prof. Hoot + Leo (wrong guess) + Mila</t>
        </is>
      </c>
      <c r="N566" s="15" t="inlineStr">
        <is>
          <t>Answer simply: What Is Electricity?</t>
        </is>
      </c>
      <c r="O566" s="15" t="inlineStr">
        <is>
          <t>Yes</t>
        </is>
      </c>
      <c r="P566" s="15" t="inlineStr">
        <is>
          <t>P3</t>
        </is>
      </c>
      <c r="Q566" s="15" t="inlineStr">
        <is>
          <t>Idea</t>
        </is>
      </c>
      <c r="R566" s="48">
        <f>INDEX('Start Here'!$B$10:$B$16,WEEKDAY(C566,2))</f>
        <v/>
      </c>
      <c r="S566" s="48">
        <f>MOD(R566+'Start Here'!$B$6/24,1)</f>
        <v/>
      </c>
      <c r="T566" s="15" t="n"/>
      <c r="U566" s="15" t="n"/>
      <c r="V566" s="15" t="n"/>
      <c r="W566" s="15" t="n"/>
      <c r="X566" s="20" t="n"/>
      <c r="Y566" s="15" t="n"/>
    </row>
    <row r="567">
      <c r="A567" s="15" t="n">
        <v>566</v>
      </c>
      <c r="B567" s="16">
        <f>INT((A567-1)/7)+1</f>
        <v/>
      </c>
      <c r="C567" s="47">
        <f>'Start Here'!$B$5+A567-1</f>
        <v/>
      </c>
      <c r="D567" s="16">
        <f>TEXT(C567,"ddd")</f>
        <v/>
      </c>
      <c r="E567" s="15" t="inlineStr">
        <is>
          <t>Puzzle Saturday</t>
        </is>
      </c>
      <c r="F567" s="25" t="inlineStr">
        <is>
          <t>🧩 Puzzles &amp; Problem-Solving</t>
        </is>
      </c>
      <c r="G567" s="15" t="n">
        <v>81</v>
      </c>
      <c r="H567" s="15" t="inlineStr">
        <is>
          <t>Simple Logic Puzzle</t>
        </is>
      </c>
      <c r="I567" s="15" t="inlineStr">
        <is>
          <t>Simple Logic Puzzle 🧩 | Brain Games for Kids | Tiny Sparks</t>
        </is>
      </c>
      <c r="J567" s="15" t="inlineStr">
        <is>
          <t>6–8</t>
        </is>
      </c>
      <c r="K567" s="15" t="inlineStr">
        <is>
          <t>Short 9:16</t>
        </is>
      </c>
      <c r="L567" s="15" t="inlineStr">
        <is>
          <t>45–60 s</t>
        </is>
      </c>
      <c r="M567" s="15" t="inlineStr">
        <is>
          <t>Prof. Hoot + Leo + score strip</t>
        </is>
      </c>
      <c r="N567" s="15" t="inlineStr">
        <is>
          <t>Thinking skill: logic</t>
        </is>
      </c>
      <c r="O567" s="15" t="inlineStr">
        <is>
          <t>Yes</t>
        </is>
      </c>
      <c r="P567" s="15" t="inlineStr">
        <is>
          <t>P3</t>
        </is>
      </c>
      <c r="Q567" s="15" t="inlineStr">
        <is>
          <t>Idea</t>
        </is>
      </c>
      <c r="R567" s="48">
        <f>INDEX('Start Here'!$B$10:$B$16,WEEKDAY(C567,2))</f>
        <v/>
      </c>
      <c r="S567" s="48">
        <f>MOD(R567+'Start Here'!$B$6/24,1)</f>
        <v/>
      </c>
      <c r="T567" s="15" t="n"/>
      <c r="U567" s="15" t="n"/>
      <c r="V567" s="15" t="n"/>
      <c r="W567" s="15" t="n"/>
      <c r="X567" s="20" t="n"/>
      <c r="Y567" s="15" t="n"/>
    </row>
    <row r="568">
      <c r="A568" s="15" t="n">
        <v>567</v>
      </c>
      <c r="B568" s="16">
        <f>INT((A568-1)/7)+1</f>
        <v/>
      </c>
      <c r="C568" s="47">
        <f>'Start Here'!$B$5+A568-1</f>
        <v/>
      </c>
      <c r="D568" s="16">
        <f>TEXT(C568,"ddd")</f>
        <v/>
      </c>
      <c r="E568" s="15" t="inlineStr">
        <is>
          <t>Song Sunday</t>
        </is>
      </c>
      <c r="F568" s="26" t="inlineStr">
        <is>
          <t>🎵 Educational Songs</t>
        </is>
      </c>
      <c r="G568" s="15" t="n">
        <v>81</v>
      </c>
      <c r="H568" s="15" t="inlineStr">
        <is>
          <t>Puzzle Time Song</t>
        </is>
      </c>
      <c r="I568" s="15" t="inlineStr">
        <is>
          <t>Puzzle Time Song 🎵 | Kids Songs | Tiny Sparks</t>
        </is>
      </c>
      <c r="J568" s="15" t="inlineStr">
        <is>
          <t>6–8</t>
        </is>
      </c>
      <c r="K568" s="15" t="inlineStr">
        <is>
          <t>Long 16:9 + Short cut</t>
        </is>
      </c>
      <c r="L568" s="15" t="inlineStr">
        <is>
          <t>2–3 min (Short: 45 s chorus)</t>
        </is>
      </c>
      <c r="M568" s="15" t="inlineStr">
        <is>
          <t>Mila sings, all dance</t>
        </is>
      </c>
      <c r="N568" s="15" t="inlineStr">
        <is>
          <t>Sing &amp; learn: Puzzle Time</t>
        </is>
      </c>
      <c r="O568" s="15" t="inlineStr">
        <is>
          <t>Yes</t>
        </is>
      </c>
      <c r="P568" s="15" t="inlineStr">
        <is>
          <t>P3</t>
        </is>
      </c>
      <c r="Q568" s="15" t="inlineStr">
        <is>
          <t>Idea</t>
        </is>
      </c>
      <c r="R568" s="48">
        <f>INDEX('Start Here'!$B$10:$B$16,WEEKDAY(C568,2))</f>
        <v/>
      </c>
      <c r="S568" s="48">
        <f>MOD(R568+'Start Here'!$B$6/24,1)</f>
        <v/>
      </c>
      <c r="T568" s="15" t="n"/>
      <c r="U568" s="15" t="n"/>
      <c r="V568" s="15" t="n"/>
      <c r="W568" s="15" t="n"/>
      <c r="X568" s="20" t="n"/>
      <c r="Y568" s="15" t="n"/>
    </row>
    <row r="569">
      <c r="A569" s="15" t="n">
        <v>568</v>
      </c>
      <c r="B569" s="16">
        <f>INT((A569-1)/7)+1</f>
        <v/>
      </c>
      <c r="C569" s="47">
        <f>'Start Here'!$B$5+A569-1</f>
        <v/>
      </c>
      <c r="D569" s="16">
        <f>TEXT(C569,"ddd")</f>
        <v/>
      </c>
      <c r="E569" s="15" t="inlineStr">
        <is>
          <t>Story Monday</t>
        </is>
      </c>
      <c r="F569" s="27" t="inlineStr">
        <is>
          <t>📚 Moral Stories</t>
        </is>
      </c>
      <c r="G569" s="15" t="n">
        <v>41</v>
      </c>
      <c r="H569" s="15" t="inlineStr">
        <is>
          <t>The Boy Who Wasted Water</t>
        </is>
      </c>
      <c r="I569" s="15" t="inlineStr">
        <is>
          <t>The Boy Who Wasted Water 📚 | Moral Stories for Kids | Tiny Sparks</t>
        </is>
      </c>
      <c r="J569" s="15" t="inlineStr">
        <is>
          <t>3–5</t>
        </is>
      </c>
      <c r="K569" s="15" t="inlineStr">
        <is>
          <t>Long 16:9 + Short teaser</t>
        </is>
      </c>
      <c r="L569" s="15" t="inlineStr">
        <is>
          <t>3–5 min (Short: 50 s)</t>
        </is>
      </c>
      <c r="M569" s="15" t="inlineStr">
        <is>
          <t>narrator + guest animals / Mila &amp; Leo</t>
        </is>
      </c>
      <c r="N569" s="15" t="inlineStr">
        <is>
          <t>Value: caring for the planet</t>
        </is>
      </c>
      <c r="O569" s="15" t="inlineStr">
        <is>
          <t>Yes</t>
        </is>
      </c>
      <c r="P569" s="15" t="inlineStr">
        <is>
          <t>P3</t>
        </is>
      </c>
      <c r="Q569" s="15" t="inlineStr">
        <is>
          <t>Idea</t>
        </is>
      </c>
      <c r="R569" s="48">
        <f>INDEX('Start Here'!$B$10:$B$16,WEEKDAY(C569,2))</f>
        <v/>
      </c>
      <c r="S569" s="48">
        <f>MOD(R569+'Start Here'!$B$6/24,1)</f>
        <v/>
      </c>
      <c r="T569" s="15" t="n"/>
      <c r="U569" s="15" t="n"/>
      <c r="V569" s="15" t="n"/>
      <c r="W569" s="15" t="n"/>
      <c r="X569" s="20" t="n"/>
      <c r="Y569" s="15" t="n"/>
    </row>
    <row r="570">
      <c r="A570" s="15" t="n">
        <v>569</v>
      </c>
      <c r="B570" s="16">
        <f>INT((A570-1)/7)+1</f>
        <v/>
      </c>
      <c r="C570" s="47">
        <f>'Start Here'!$B$5+A570-1</f>
        <v/>
      </c>
      <c r="D570" s="16">
        <f>TEXT(C570,"ddd")</f>
        <v/>
      </c>
      <c r="E570" s="15" t="inlineStr">
        <is>
          <t>Math Tuesday</t>
        </is>
      </c>
      <c r="F570" s="21" t="inlineStr">
        <is>
          <t>🔢 Numbers &amp; Math</t>
        </is>
      </c>
      <c r="G570" s="15" t="n">
        <v>82</v>
      </c>
      <c r="H570" s="15" t="inlineStr">
        <is>
          <t>Math on a Birthday</t>
        </is>
      </c>
      <c r="I570" s="15" t="inlineStr">
        <is>
          <t>Math on a Birthday 🔢 | Learn Math for Kids | Tiny Sparks</t>
        </is>
      </c>
      <c r="J570" s="15" t="inlineStr">
        <is>
          <t>3–5</t>
        </is>
      </c>
      <c r="K570" s="15" t="inlineStr">
        <is>
          <t>Short 9:16</t>
        </is>
      </c>
      <c r="L570" s="15" t="inlineStr">
        <is>
          <t>45–60 s</t>
        </is>
      </c>
      <c r="M570" s="15" t="inlineStr">
        <is>
          <t>Bobo + Mila (counting fingers)</t>
        </is>
      </c>
      <c r="N570" s="15" t="inlineStr">
        <is>
          <t>Math: Math on a Birthday</t>
        </is>
      </c>
      <c r="O570" s="15" t="inlineStr">
        <is>
          <t>Yes</t>
        </is>
      </c>
      <c r="P570" s="15" t="inlineStr">
        <is>
          <t>P3</t>
        </is>
      </c>
      <c r="Q570" s="15" t="inlineStr">
        <is>
          <t>Idea</t>
        </is>
      </c>
      <c r="R570" s="48">
        <f>INDEX('Start Here'!$B$10:$B$16,WEEKDAY(C570,2))</f>
        <v/>
      </c>
      <c r="S570" s="48">
        <f>MOD(R570+'Start Here'!$B$6/24,1)</f>
        <v/>
      </c>
      <c r="T570" s="15" t="n"/>
      <c r="U570" s="15" t="n"/>
      <c r="V570" s="15" t="n"/>
      <c r="W570" s="15" t="n"/>
      <c r="X570" s="20" t="n"/>
      <c r="Y570" s="15" t="n"/>
    </row>
    <row r="571">
      <c r="A571" s="15" t="n">
        <v>570</v>
      </c>
      <c r="B571" s="16">
        <f>INT((A571-1)/7)+1</f>
        <v/>
      </c>
      <c r="C571" s="47">
        <f>'Start Here'!$B$5+A571-1</f>
        <v/>
      </c>
      <c r="D571" s="16">
        <f>TEXT(C571,"ddd")</f>
        <v/>
      </c>
      <c r="E571" s="15" t="inlineStr">
        <is>
          <t>Word Wednesday</t>
        </is>
      </c>
      <c r="F571" s="22" t="inlineStr">
        <is>
          <t>🔤 English/French Words</t>
        </is>
      </c>
      <c r="G571" s="15" t="n">
        <v>82</v>
      </c>
      <c r="H571" s="15" t="inlineStr">
        <is>
          <t>20 English School Words</t>
        </is>
      </c>
      <c r="I571" s="15" t="inlineStr">
        <is>
          <t>20 English School Words 🔤 | Kids Vocabulary | Tiny Sparks</t>
        </is>
      </c>
      <c r="J571" s="15" t="inlineStr">
        <is>
          <t>3–5</t>
        </is>
      </c>
      <c r="K571" s="15" t="inlineStr">
        <is>
          <t>Long 16:9</t>
        </is>
      </c>
      <c r="L571" s="15" t="inlineStr">
        <is>
          <t>4–8 min</t>
        </is>
      </c>
      <c r="M571" s="15" t="inlineStr">
        <is>
          <t>Mila + French narrator</t>
        </is>
      </c>
      <c r="N571" s="15" t="inlineStr">
        <is>
          <t>Vocabulary EN→FR: 20 English School Words</t>
        </is>
      </c>
      <c r="O571" s="15" t="inlineStr">
        <is>
          <t>Yes</t>
        </is>
      </c>
      <c r="P571" s="15" t="inlineStr">
        <is>
          <t>P3</t>
        </is>
      </c>
      <c r="Q571" s="15" t="inlineStr">
        <is>
          <t>Idea</t>
        </is>
      </c>
      <c r="R571" s="48">
        <f>INDEX('Start Here'!$B$10:$B$16,WEEKDAY(C571,2))</f>
        <v/>
      </c>
      <c r="S571" s="48">
        <f>MOD(R571+'Start Here'!$B$6/24,1)</f>
        <v/>
      </c>
      <c r="T571" s="15" t="n"/>
      <c r="U571" s="15" t="n"/>
      <c r="V571" s="15" t="n"/>
      <c r="W571" s="15" t="n"/>
      <c r="X571" s="20" t="n"/>
      <c r="Y571" s="15" t="n"/>
    </row>
    <row r="572">
      <c r="A572" s="15" t="n">
        <v>571</v>
      </c>
      <c r="B572" s="16">
        <f>INT((A572-1)/7)+1</f>
        <v/>
      </c>
      <c r="C572" s="47">
        <f>'Start Here'!$B$5+A572-1</f>
        <v/>
      </c>
      <c r="D572" s="16">
        <f>TEXT(C572,"ddd")</f>
        <v/>
      </c>
      <c r="E572" s="15" t="inlineStr">
        <is>
          <t>Animal Thursday</t>
        </is>
      </c>
      <c r="F572" s="23" t="inlineStr">
        <is>
          <t>🦁 Animal Stories</t>
        </is>
      </c>
      <c r="G572" s="15" t="n">
        <v>82</v>
      </c>
      <c r="H572" s="15" t="inlineStr">
        <is>
          <t>The Talking Tree</t>
        </is>
      </c>
      <c r="I572" s="15" t="inlineStr">
        <is>
          <t>The Talking Tree 🦁 | Animal Stories for Kids | Tiny Sparks</t>
        </is>
      </c>
      <c r="J572" s="15" t="inlineStr">
        <is>
          <t>6–8</t>
        </is>
      </c>
      <c r="K572" s="15" t="inlineStr">
        <is>
          <t>Long 16:9 + Short teaser</t>
        </is>
      </c>
      <c r="L572" s="15" t="inlineStr">
        <is>
          <t>3–5 min (Short: 50 s)</t>
        </is>
      </c>
      <c r="M572" s="15" t="inlineStr">
        <is>
          <t>guest animal(s) + Bobo</t>
        </is>
      </c>
      <c r="N572" s="15" t="inlineStr">
        <is>
          <t>Story + 3 true animal facts; value: caring for the planet</t>
        </is>
      </c>
      <c r="O572" s="15" t="inlineStr">
        <is>
          <t>Yes</t>
        </is>
      </c>
      <c r="P572" s="15" t="inlineStr">
        <is>
          <t>P3</t>
        </is>
      </c>
      <c r="Q572" s="15" t="inlineStr">
        <is>
          <t>Idea</t>
        </is>
      </c>
      <c r="R572" s="48">
        <f>INDEX('Start Here'!$B$10:$B$16,WEEKDAY(C572,2))</f>
        <v/>
      </c>
      <c r="S572" s="48">
        <f>MOD(R572+'Start Here'!$B$6/24,1)</f>
        <v/>
      </c>
      <c r="T572" s="15" t="n"/>
      <c r="U572" s="15" t="n"/>
      <c r="V572" s="15" t="n"/>
      <c r="W572" s="15" t="n"/>
      <c r="X572" s="20" t="n"/>
      <c r="Y572" s="15" t="n"/>
    </row>
    <row r="573">
      <c r="A573" s="15" t="n">
        <v>572</v>
      </c>
      <c r="B573" s="16">
        <f>INT((A573-1)/7)+1</f>
        <v/>
      </c>
      <c r="C573" s="47">
        <f>'Start Here'!$B$5+A573-1</f>
        <v/>
      </c>
      <c r="D573" s="16">
        <f>TEXT(C573,"ddd")</f>
        <v/>
      </c>
      <c r="E573" s="15" t="inlineStr">
        <is>
          <t>Science Friday</t>
        </is>
      </c>
      <c r="F573" s="24" t="inlineStr">
        <is>
          <t>🚀 Science for Kids</t>
        </is>
      </c>
      <c r="G573" s="15" t="n">
        <v>82</v>
      </c>
      <c r="H573" s="15" t="inlineStr">
        <is>
          <t>How Do Batteries Work?</t>
        </is>
      </c>
      <c r="I573" s="15" t="inlineStr">
        <is>
          <t>How Do Batteries Work? 🚀 | Science for Kids | Tiny Sparks</t>
        </is>
      </c>
      <c r="J573" s="15" t="inlineStr">
        <is>
          <t>6–8</t>
        </is>
      </c>
      <c r="K573" s="15" t="inlineStr">
        <is>
          <t>Short 9:16</t>
        </is>
      </c>
      <c r="L573" s="15" t="inlineStr">
        <is>
          <t>45–60 s</t>
        </is>
      </c>
      <c r="M573" s="15" t="inlineStr">
        <is>
          <t>Prof. Hoot + Leo (wrong guess) + Mila</t>
        </is>
      </c>
      <c r="N573" s="15" t="inlineStr">
        <is>
          <t>Answer simply: How Do Batteries Work?</t>
        </is>
      </c>
      <c r="O573" s="15" t="inlineStr">
        <is>
          <t>Yes</t>
        </is>
      </c>
      <c r="P573" s="15" t="inlineStr">
        <is>
          <t>P3</t>
        </is>
      </c>
      <c r="Q573" s="15" t="inlineStr">
        <is>
          <t>Idea</t>
        </is>
      </c>
      <c r="R573" s="48">
        <f>INDEX('Start Here'!$B$10:$B$16,WEEKDAY(C573,2))</f>
        <v/>
      </c>
      <c r="S573" s="48">
        <f>MOD(R573+'Start Here'!$B$6/24,1)</f>
        <v/>
      </c>
      <c r="T573" s="15" t="n"/>
      <c r="U573" s="15" t="n"/>
      <c r="V573" s="15" t="n"/>
      <c r="W573" s="15" t="n"/>
      <c r="X573" s="20" t="n"/>
      <c r="Y573" s="15" t="n"/>
    </row>
    <row r="574">
      <c r="A574" s="15" t="n">
        <v>573</v>
      </c>
      <c r="B574" s="16">
        <f>INT((A574-1)/7)+1</f>
        <v/>
      </c>
      <c r="C574" s="47">
        <f>'Start Here'!$B$5+A574-1</f>
        <v/>
      </c>
      <c r="D574" s="16">
        <f>TEXT(C574,"ddd")</f>
        <v/>
      </c>
      <c r="E574" s="15" t="inlineStr">
        <is>
          <t>Puzzle Saturday</t>
        </is>
      </c>
      <c r="F574" s="25" t="inlineStr">
        <is>
          <t>🧩 Puzzles &amp; Problem-Solving</t>
        </is>
      </c>
      <c r="G574" s="15" t="n">
        <v>82</v>
      </c>
      <c r="H574" s="15" t="inlineStr">
        <is>
          <t>Animal Logic Puzzle</t>
        </is>
      </c>
      <c r="I574" s="15" t="inlineStr">
        <is>
          <t>Animal Logic Puzzle 🧩 | Brain Games for Kids | Tiny Sparks</t>
        </is>
      </c>
      <c r="J574" s="15" t="inlineStr">
        <is>
          <t>6–8</t>
        </is>
      </c>
      <c r="K574" s="15" t="inlineStr">
        <is>
          <t>Short 9:16</t>
        </is>
      </c>
      <c r="L574" s="15" t="inlineStr">
        <is>
          <t>45–60 s</t>
        </is>
      </c>
      <c r="M574" s="15" t="inlineStr">
        <is>
          <t>Prof. Hoot + Leo + score strip</t>
        </is>
      </c>
      <c r="N574" s="15" t="inlineStr">
        <is>
          <t>Thinking skill: logic</t>
        </is>
      </c>
      <c r="O574" s="15" t="inlineStr">
        <is>
          <t>Yes</t>
        </is>
      </c>
      <c r="P574" s="15" t="inlineStr">
        <is>
          <t>P3</t>
        </is>
      </c>
      <c r="Q574" s="15" t="inlineStr">
        <is>
          <t>Idea</t>
        </is>
      </c>
      <c r="R574" s="48">
        <f>INDEX('Start Here'!$B$10:$B$16,WEEKDAY(C574,2))</f>
        <v/>
      </c>
      <c r="S574" s="48">
        <f>MOD(R574+'Start Here'!$B$6/24,1)</f>
        <v/>
      </c>
      <c r="T574" s="15" t="n"/>
      <c r="U574" s="15" t="n"/>
      <c r="V574" s="15" t="n"/>
      <c r="W574" s="15" t="n"/>
      <c r="X574" s="20" t="n"/>
      <c r="Y574" s="15" t="n"/>
    </row>
    <row r="575">
      <c r="A575" s="15" t="n">
        <v>574</v>
      </c>
      <c r="B575" s="16">
        <f>INT((A575-1)/7)+1</f>
        <v/>
      </c>
      <c r="C575" s="47">
        <f>'Start Here'!$B$5+A575-1</f>
        <v/>
      </c>
      <c r="D575" s="16">
        <f>TEXT(C575,"ddd")</f>
        <v/>
      </c>
      <c r="E575" s="15" t="inlineStr">
        <is>
          <t>Song Sunday</t>
        </is>
      </c>
      <c r="F575" s="26" t="inlineStr">
        <is>
          <t>🎵 Educational Songs</t>
        </is>
      </c>
      <c r="G575" s="15" t="n">
        <v>82</v>
      </c>
      <c r="H575" s="15" t="inlineStr">
        <is>
          <t>Think, Think, Think Song</t>
        </is>
      </c>
      <c r="I575" s="15" t="inlineStr">
        <is>
          <t>Think, Think, Think Song 🎵 | Kids Songs | Tiny Sparks</t>
        </is>
      </c>
      <c r="J575" s="15" t="inlineStr">
        <is>
          <t>3–5</t>
        </is>
      </c>
      <c r="K575" s="15" t="inlineStr">
        <is>
          <t>Long 16:9 + Short cut</t>
        </is>
      </c>
      <c r="L575" s="15" t="inlineStr">
        <is>
          <t>2–3 min (Short: 45 s chorus)</t>
        </is>
      </c>
      <c r="M575" s="15" t="inlineStr">
        <is>
          <t>Mila sings, all dance</t>
        </is>
      </c>
      <c r="N575" s="15" t="inlineStr">
        <is>
          <t>Sing &amp; learn: Think, Think, Think</t>
        </is>
      </c>
      <c r="O575" s="15" t="inlineStr">
        <is>
          <t>Yes</t>
        </is>
      </c>
      <c r="P575" s="15" t="inlineStr">
        <is>
          <t>P3</t>
        </is>
      </c>
      <c r="Q575" s="15" t="inlineStr">
        <is>
          <t>Idea</t>
        </is>
      </c>
      <c r="R575" s="48">
        <f>INDEX('Start Here'!$B$10:$B$16,WEEKDAY(C575,2))</f>
        <v/>
      </c>
      <c r="S575" s="48">
        <f>MOD(R575+'Start Here'!$B$6/24,1)</f>
        <v/>
      </c>
      <c r="T575" s="15" t="n"/>
      <c r="U575" s="15" t="n"/>
      <c r="V575" s="15" t="n"/>
      <c r="W575" s="15" t="n"/>
      <c r="X575" s="20" t="n"/>
      <c r="Y575" s="15" t="n"/>
    </row>
    <row r="576">
      <c r="A576" s="15" t="n">
        <v>575</v>
      </c>
      <c r="B576" s="16">
        <f>INT((A576-1)/7)+1</f>
        <v/>
      </c>
      <c r="C576" s="47">
        <f>'Start Here'!$B$5+A576-1</f>
        <v/>
      </c>
      <c r="D576" s="16">
        <f>TEXT(C576,"ddd")</f>
        <v/>
      </c>
      <c r="E576" s="15" t="inlineStr">
        <is>
          <t>Story Monday</t>
        </is>
      </c>
      <c r="F576" s="18" t="inlineStr">
        <is>
          <t>🧠 Educational Stories</t>
        </is>
      </c>
      <c r="G576" s="15" t="n">
        <v>42</v>
      </c>
      <c r="H576" s="15" t="inlineStr">
        <is>
          <t>The Little Explorer and the Map</t>
        </is>
      </c>
      <c r="I576" s="15" t="inlineStr">
        <is>
          <t>The Little Explorer and the Map 🧠 | Kids Stories | Tiny Sparks</t>
        </is>
      </c>
      <c r="J576" s="15" t="inlineStr">
        <is>
          <t>6–8</t>
        </is>
      </c>
      <c r="K576" s="15" t="inlineStr">
        <is>
          <t>Long 16:9 + Short teaser</t>
        </is>
      </c>
      <c r="L576" s="15" t="inlineStr">
        <is>
          <t>3–5 min (Short: 50 s)</t>
        </is>
      </c>
      <c r="M576" s="15" t="inlineStr">
        <is>
          <t>Mila, Leo, Bobo + narrator</t>
        </is>
      </c>
      <c r="N576" s="15" t="inlineStr">
        <is>
          <t>Curiosity + problem solving</t>
        </is>
      </c>
      <c r="O576" s="15" t="inlineStr">
        <is>
          <t>Yes</t>
        </is>
      </c>
      <c r="P576" s="15" t="inlineStr">
        <is>
          <t>P3</t>
        </is>
      </c>
      <c r="Q576" s="15" t="inlineStr">
        <is>
          <t>Idea</t>
        </is>
      </c>
      <c r="R576" s="48">
        <f>INDEX('Start Here'!$B$10:$B$16,WEEKDAY(C576,2))</f>
        <v/>
      </c>
      <c r="S576" s="48">
        <f>MOD(R576+'Start Here'!$B$6/24,1)</f>
        <v/>
      </c>
      <c r="T576" s="15" t="n"/>
      <c r="U576" s="15" t="n"/>
      <c r="V576" s="15" t="n"/>
      <c r="W576" s="15" t="n"/>
      <c r="X576" s="20" t="n"/>
      <c r="Y576" s="15" t="n"/>
    </row>
    <row r="577">
      <c r="A577" s="15" t="n">
        <v>576</v>
      </c>
      <c r="B577" s="16">
        <f>INT((A577-1)/7)+1</f>
        <v/>
      </c>
      <c r="C577" s="47">
        <f>'Start Here'!$B$5+A577-1</f>
        <v/>
      </c>
      <c r="D577" s="16">
        <f>TEXT(C577,"ddd")</f>
        <v/>
      </c>
      <c r="E577" s="15" t="inlineStr">
        <is>
          <t>Math Tuesday</t>
        </is>
      </c>
      <c r="F577" s="21" t="inlineStr">
        <is>
          <t>🔢 Numbers &amp; Math</t>
        </is>
      </c>
      <c r="G577" s="15" t="n">
        <v>83</v>
      </c>
      <c r="H577" s="15" t="inlineStr">
        <is>
          <t>Math on a Farm</t>
        </is>
      </c>
      <c r="I577" s="15" t="inlineStr">
        <is>
          <t>Math on a Farm 🔢 | Learn Math for Kids | Tiny Sparks</t>
        </is>
      </c>
      <c r="J577" s="15" t="inlineStr">
        <is>
          <t>3–5</t>
        </is>
      </c>
      <c r="K577" s="15" t="inlineStr">
        <is>
          <t>Short 9:16</t>
        </is>
      </c>
      <c r="L577" s="15" t="inlineStr">
        <is>
          <t>45–60 s</t>
        </is>
      </c>
      <c r="M577" s="15" t="inlineStr">
        <is>
          <t>Bobo + Mila (counting fingers)</t>
        </is>
      </c>
      <c r="N577" s="15" t="inlineStr">
        <is>
          <t>Math: Math on a Farm</t>
        </is>
      </c>
      <c r="O577" s="15" t="inlineStr">
        <is>
          <t>Yes</t>
        </is>
      </c>
      <c r="P577" s="15" t="inlineStr">
        <is>
          <t>P3</t>
        </is>
      </c>
      <c r="Q577" s="15" t="inlineStr">
        <is>
          <t>Idea</t>
        </is>
      </c>
      <c r="R577" s="48">
        <f>INDEX('Start Here'!$B$10:$B$16,WEEKDAY(C577,2))</f>
        <v/>
      </c>
      <c r="S577" s="48">
        <f>MOD(R577+'Start Here'!$B$6/24,1)</f>
        <v/>
      </c>
      <c r="T577" s="15" t="n"/>
      <c r="U577" s="15" t="n"/>
      <c r="V577" s="15" t="n"/>
      <c r="W577" s="15" t="n"/>
      <c r="X577" s="20" t="n"/>
      <c r="Y577" s="15" t="n"/>
    </row>
    <row r="578">
      <c r="A578" s="15" t="n">
        <v>577</v>
      </c>
      <c r="B578" s="16">
        <f>INT((A578-1)/7)+1</f>
        <v/>
      </c>
      <c r="C578" s="47">
        <f>'Start Here'!$B$5+A578-1</f>
        <v/>
      </c>
      <c r="D578" s="16">
        <f>TEXT(C578,"ddd")</f>
        <v/>
      </c>
      <c r="E578" s="15" t="inlineStr">
        <is>
          <t>Word Wednesday</t>
        </is>
      </c>
      <c r="F578" s="22" t="inlineStr">
        <is>
          <t>🔤 English/French Words</t>
        </is>
      </c>
      <c r="G578" s="15" t="n">
        <v>83</v>
      </c>
      <c r="H578" s="15" t="inlineStr">
        <is>
          <t>20 French School Words</t>
        </is>
      </c>
      <c r="I578" s="15" t="inlineStr">
        <is>
          <t>20 French School Words 🔤 | Kids Vocabulary | Tiny Sparks</t>
        </is>
      </c>
      <c r="J578" s="15" t="inlineStr">
        <is>
          <t>3–5</t>
        </is>
      </c>
      <c r="K578" s="15" t="inlineStr">
        <is>
          <t>Long 16:9</t>
        </is>
      </c>
      <c r="L578" s="15" t="inlineStr">
        <is>
          <t>4–8 min</t>
        </is>
      </c>
      <c r="M578" s="15" t="inlineStr">
        <is>
          <t>Mila + French narrator</t>
        </is>
      </c>
      <c r="N578" s="15" t="inlineStr">
        <is>
          <t>Vocabulary EN→FR: 20 French School Words</t>
        </is>
      </c>
      <c r="O578" s="15" t="inlineStr">
        <is>
          <t>Yes</t>
        </is>
      </c>
      <c r="P578" s="15" t="inlineStr">
        <is>
          <t>P3</t>
        </is>
      </c>
      <c r="Q578" s="15" t="inlineStr">
        <is>
          <t>Idea</t>
        </is>
      </c>
      <c r="R578" s="48">
        <f>INDEX('Start Here'!$B$10:$B$16,WEEKDAY(C578,2))</f>
        <v/>
      </c>
      <c r="S578" s="48">
        <f>MOD(R578+'Start Here'!$B$6/24,1)</f>
        <v/>
      </c>
      <c r="T578" s="15" t="n"/>
      <c r="U578" s="15" t="n"/>
      <c r="V578" s="15" t="n"/>
      <c r="W578" s="15" t="n"/>
      <c r="X578" s="20" t="n"/>
      <c r="Y578" s="15" t="n"/>
    </row>
    <row r="579">
      <c r="A579" s="15" t="n">
        <v>578</v>
      </c>
      <c r="B579" s="16">
        <f>INT((A579-1)/7)+1</f>
        <v/>
      </c>
      <c r="C579" s="47">
        <f>'Start Here'!$B$5+A579-1</f>
        <v/>
      </c>
      <c r="D579" s="16">
        <f>TEXT(C579,"ddd")</f>
        <v/>
      </c>
      <c r="E579" s="15" t="inlineStr">
        <is>
          <t>Animal Thursday</t>
        </is>
      </c>
      <c r="F579" s="23" t="inlineStr">
        <is>
          <t>🦁 Animal Stories</t>
        </is>
      </c>
      <c r="G579" s="15" t="n">
        <v>83</v>
      </c>
      <c r="H579" s="15" t="inlineStr">
        <is>
          <t>The Rainbow Animal Kingdom</t>
        </is>
      </c>
      <c r="I579" s="15" t="inlineStr">
        <is>
          <t>The Rainbow Animal Kingdom 🦁 | Animal Stories for Kids | Tiny Sparks</t>
        </is>
      </c>
      <c r="J579" s="15" t="inlineStr">
        <is>
          <t>6–8</t>
        </is>
      </c>
      <c r="K579" s="15" t="inlineStr">
        <is>
          <t>Long 16:9 + Short teaser</t>
        </is>
      </c>
      <c r="L579" s="15" t="inlineStr">
        <is>
          <t>3–5 min (Short: 50 s)</t>
        </is>
      </c>
      <c r="M579" s="15" t="inlineStr">
        <is>
          <t>guest animal(s) + Bobo</t>
        </is>
      </c>
      <c r="N579" s="15" t="inlineStr">
        <is>
          <t>Story + 3 true animal facts; value: friendship</t>
        </is>
      </c>
      <c r="O579" s="15" t="inlineStr">
        <is>
          <t>Yes</t>
        </is>
      </c>
      <c r="P579" s="15" t="inlineStr">
        <is>
          <t>P3</t>
        </is>
      </c>
      <c r="Q579" s="15" t="inlineStr">
        <is>
          <t>Idea</t>
        </is>
      </c>
      <c r="R579" s="48">
        <f>INDEX('Start Here'!$B$10:$B$16,WEEKDAY(C579,2))</f>
        <v/>
      </c>
      <c r="S579" s="48">
        <f>MOD(R579+'Start Here'!$B$6/24,1)</f>
        <v/>
      </c>
      <c r="T579" s="15" t="n"/>
      <c r="U579" s="15" t="n"/>
      <c r="V579" s="15" t="n"/>
      <c r="W579" s="15" t="n"/>
      <c r="X579" s="20" t="n"/>
      <c r="Y579" s="15" t="n"/>
    </row>
    <row r="580">
      <c r="A580" s="15" t="n">
        <v>579</v>
      </c>
      <c r="B580" s="16">
        <f>INT((A580-1)/7)+1</f>
        <v/>
      </c>
      <c r="C580" s="47">
        <f>'Start Here'!$B$5+A580-1</f>
        <v/>
      </c>
      <c r="D580" s="16">
        <f>TEXT(C580,"ddd")</f>
        <v/>
      </c>
      <c r="E580" s="15" t="inlineStr">
        <is>
          <t>Science Friday</t>
        </is>
      </c>
      <c r="F580" s="24" t="inlineStr">
        <is>
          <t>🚀 Science for Kids</t>
        </is>
      </c>
      <c r="G580" s="15" t="n">
        <v>83</v>
      </c>
      <c r="H580" s="15" t="inlineStr">
        <is>
          <t>What Are Magnets?</t>
        </is>
      </c>
      <c r="I580" s="15" t="inlineStr">
        <is>
          <t>What Are Magnets? 🚀 | Science for Kids | Tiny Sparks</t>
        </is>
      </c>
      <c r="J580" s="15" t="inlineStr">
        <is>
          <t>6–8</t>
        </is>
      </c>
      <c r="K580" s="15" t="inlineStr">
        <is>
          <t>Short 9:16</t>
        </is>
      </c>
      <c r="L580" s="15" t="inlineStr">
        <is>
          <t>45–60 s</t>
        </is>
      </c>
      <c r="M580" s="15" t="inlineStr">
        <is>
          <t>Prof. Hoot + Leo (wrong guess) + Mila</t>
        </is>
      </c>
      <c r="N580" s="15" t="inlineStr">
        <is>
          <t>Answer simply: What Are Magnets?</t>
        </is>
      </c>
      <c r="O580" s="15" t="inlineStr">
        <is>
          <t>Yes</t>
        </is>
      </c>
      <c r="P580" s="15" t="inlineStr">
        <is>
          <t>P3</t>
        </is>
      </c>
      <c r="Q580" s="15" t="inlineStr">
        <is>
          <t>Idea</t>
        </is>
      </c>
      <c r="R580" s="48">
        <f>INDEX('Start Here'!$B$10:$B$16,WEEKDAY(C580,2))</f>
        <v/>
      </c>
      <c r="S580" s="48">
        <f>MOD(R580+'Start Here'!$B$6/24,1)</f>
        <v/>
      </c>
      <c r="T580" s="15" t="n"/>
      <c r="U580" s="15" t="n"/>
      <c r="V580" s="15" t="n"/>
      <c r="W580" s="15" t="n"/>
      <c r="X580" s="20" t="n"/>
      <c r="Y580" s="15" t="n"/>
    </row>
    <row r="581">
      <c r="A581" s="15" t="n">
        <v>580</v>
      </c>
      <c r="B581" s="16">
        <f>INT((A581-1)/7)+1</f>
        <v/>
      </c>
      <c r="C581" s="47">
        <f>'Start Here'!$B$5+A581-1</f>
        <v/>
      </c>
      <c r="D581" s="16">
        <f>TEXT(C581,"ddd")</f>
        <v/>
      </c>
      <c r="E581" s="15" t="inlineStr">
        <is>
          <t>Puzzle Saturday</t>
        </is>
      </c>
      <c r="F581" s="25" t="inlineStr">
        <is>
          <t>🧩 Puzzles &amp; Problem-Solving</t>
        </is>
      </c>
      <c r="G581" s="15" t="n">
        <v>83</v>
      </c>
      <c r="H581" s="15" t="inlineStr">
        <is>
          <t>School Logic Puzzle</t>
        </is>
      </c>
      <c r="I581" s="15" t="inlineStr">
        <is>
          <t>School Logic Puzzle 🧩 | Brain Games for Kids | Tiny Sparks</t>
        </is>
      </c>
      <c r="J581" s="15" t="inlineStr">
        <is>
          <t>6–8</t>
        </is>
      </c>
      <c r="K581" s="15" t="inlineStr">
        <is>
          <t>Short 9:16</t>
        </is>
      </c>
      <c r="L581" s="15" t="inlineStr">
        <is>
          <t>45–60 s</t>
        </is>
      </c>
      <c r="M581" s="15" t="inlineStr">
        <is>
          <t>Prof. Hoot + Leo + score strip</t>
        </is>
      </c>
      <c r="N581" s="15" t="inlineStr">
        <is>
          <t>Thinking skill: logic</t>
        </is>
      </c>
      <c r="O581" s="15" t="inlineStr">
        <is>
          <t>Yes</t>
        </is>
      </c>
      <c r="P581" s="15" t="inlineStr">
        <is>
          <t>P3</t>
        </is>
      </c>
      <c r="Q581" s="15" t="inlineStr">
        <is>
          <t>Idea</t>
        </is>
      </c>
      <c r="R581" s="48">
        <f>INDEX('Start Here'!$B$10:$B$16,WEEKDAY(C581,2))</f>
        <v/>
      </c>
      <c r="S581" s="48">
        <f>MOD(R581+'Start Here'!$B$6/24,1)</f>
        <v/>
      </c>
      <c r="T581" s="15" t="n"/>
      <c r="U581" s="15" t="n"/>
      <c r="V581" s="15" t="n"/>
      <c r="W581" s="15" t="n"/>
      <c r="X581" s="20" t="n"/>
      <c r="Y581" s="15" t="n"/>
    </row>
    <row r="582">
      <c r="A582" s="15" t="n">
        <v>581</v>
      </c>
      <c r="B582" s="16">
        <f>INT((A582-1)/7)+1</f>
        <v/>
      </c>
      <c r="C582" s="47">
        <f>'Start Here'!$B$5+A582-1</f>
        <v/>
      </c>
      <c r="D582" s="16">
        <f>TEXT(C582,"ddd")</f>
        <v/>
      </c>
      <c r="E582" s="15" t="inlineStr">
        <is>
          <t>Song Sunday</t>
        </is>
      </c>
      <c r="F582" s="26" t="inlineStr">
        <is>
          <t>🎵 Educational Songs</t>
        </is>
      </c>
      <c r="G582" s="15" t="n">
        <v>83</v>
      </c>
      <c r="H582" s="15" t="inlineStr">
        <is>
          <t>Problem Solver Song</t>
        </is>
      </c>
      <c r="I582" s="15" t="inlineStr">
        <is>
          <t>Problem Solver Song 🎵 | Kids Songs | Tiny Sparks</t>
        </is>
      </c>
      <c r="J582" s="15" t="inlineStr">
        <is>
          <t>3–5</t>
        </is>
      </c>
      <c r="K582" s="15" t="inlineStr">
        <is>
          <t>Long 16:9 + Short cut</t>
        </is>
      </c>
      <c r="L582" s="15" t="inlineStr">
        <is>
          <t>2–3 min (Short: 45 s chorus)</t>
        </is>
      </c>
      <c r="M582" s="15" t="inlineStr">
        <is>
          <t>Mila sings, all dance</t>
        </is>
      </c>
      <c r="N582" s="15" t="inlineStr">
        <is>
          <t>Sing &amp; learn: Problem Solver</t>
        </is>
      </c>
      <c r="O582" s="15" t="inlineStr">
        <is>
          <t>Yes</t>
        </is>
      </c>
      <c r="P582" s="15" t="inlineStr">
        <is>
          <t>P3</t>
        </is>
      </c>
      <c r="Q582" s="15" t="inlineStr">
        <is>
          <t>Idea</t>
        </is>
      </c>
      <c r="R582" s="48">
        <f>INDEX('Start Here'!$B$10:$B$16,WEEKDAY(C582,2))</f>
        <v/>
      </c>
      <c r="S582" s="48">
        <f>MOD(R582+'Start Here'!$B$6/24,1)</f>
        <v/>
      </c>
      <c r="T582" s="15" t="n"/>
      <c r="U582" s="15" t="n"/>
      <c r="V582" s="15" t="n"/>
      <c r="W582" s="15" t="n"/>
      <c r="X582" s="20" t="n"/>
      <c r="Y582" s="15" t="n"/>
    </row>
    <row r="583">
      <c r="A583" s="15" t="n">
        <v>582</v>
      </c>
      <c r="B583" s="16">
        <f>INT((A583-1)/7)+1</f>
        <v/>
      </c>
      <c r="C583" s="47">
        <f>'Start Here'!$B$5+A583-1</f>
        <v/>
      </c>
      <c r="D583" s="16">
        <f>TEXT(C583,"ddd")</f>
        <v/>
      </c>
      <c r="E583" s="15" t="inlineStr">
        <is>
          <t>Story Monday</t>
        </is>
      </c>
      <c r="F583" s="27" t="inlineStr">
        <is>
          <t>📚 Moral Stories</t>
        </is>
      </c>
      <c r="G583" s="15" t="n">
        <v>42</v>
      </c>
      <c r="H583" s="15" t="inlineStr">
        <is>
          <t>The Girl Who Saved the Trees</t>
        </is>
      </c>
      <c r="I583" s="15" t="inlineStr">
        <is>
          <t>The Girl Who Saved the Trees 📚 | Moral Stories for Kids | Tiny Sparks</t>
        </is>
      </c>
      <c r="J583" s="15" t="inlineStr">
        <is>
          <t>3–5</t>
        </is>
      </c>
      <c r="K583" s="15" t="inlineStr">
        <is>
          <t>Long 16:9 + Short teaser</t>
        </is>
      </c>
      <c r="L583" s="15" t="inlineStr">
        <is>
          <t>3–5 min (Short: 50 s)</t>
        </is>
      </c>
      <c r="M583" s="15" t="inlineStr">
        <is>
          <t>narrator + guest animals / Mila &amp; Leo</t>
        </is>
      </c>
      <c r="N583" s="15" t="inlineStr">
        <is>
          <t>Value: caring for the planet</t>
        </is>
      </c>
      <c r="O583" s="15" t="inlineStr">
        <is>
          <t>Yes</t>
        </is>
      </c>
      <c r="P583" s="15" t="inlineStr">
        <is>
          <t>P3</t>
        </is>
      </c>
      <c r="Q583" s="15" t="inlineStr">
        <is>
          <t>Idea</t>
        </is>
      </c>
      <c r="R583" s="48">
        <f>INDEX('Start Here'!$B$10:$B$16,WEEKDAY(C583,2))</f>
        <v/>
      </c>
      <c r="S583" s="48">
        <f>MOD(R583+'Start Here'!$B$6/24,1)</f>
        <v/>
      </c>
      <c r="T583" s="15" t="n"/>
      <c r="U583" s="15" t="n"/>
      <c r="V583" s="15" t="n"/>
      <c r="W583" s="15" t="n"/>
      <c r="X583" s="20" t="n"/>
      <c r="Y583" s="15" t="n"/>
    </row>
    <row r="584">
      <c r="A584" s="15" t="n">
        <v>583</v>
      </c>
      <c r="B584" s="16">
        <f>INT((A584-1)/7)+1</f>
        <v/>
      </c>
      <c r="C584" s="47">
        <f>'Start Here'!$B$5+A584-1</f>
        <v/>
      </c>
      <c r="D584" s="16">
        <f>TEXT(C584,"ddd")</f>
        <v/>
      </c>
      <c r="E584" s="15" t="inlineStr">
        <is>
          <t>Math Tuesday</t>
        </is>
      </c>
      <c r="F584" s="21" t="inlineStr">
        <is>
          <t>🔢 Numbers &amp; Math</t>
        </is>
      </c>
      <c r="G584" s="15" t="n">
        <v>84</v>
      </c>
      <c r="H584" s="15" t="inlineStr">
        <is>
          <t>Math on a Camping Trip</t>
        </is>
      </c>
      <c r="I584" s="15" t="inlineStr">
        <is>
          <t>Math on a Camping Trip 🔢 | Learn Math for Kids | Tiny Sparks</t>
        </is>
      </c>
      <c r="J584" s="15" t="inlineStr">
        <is>
          <t>3–5</t>
        </is>
      </c>
      <c r="K584" s="15" t="inlineStr">
        <is>
          <t>Short 9:16</t>
        </is>
      </c>
      <c r="L584" s="15" t="inlineStr">
        <is>
          <t>45–60 s</t>
        </is>
      </c>
      <c r="M584" s="15" t="inlineStr">
        <is>
          <t>Bobo + Mila (counting fingers)</t>
        </is>
      </c>
      <c r="N584" s="15" t="inlineStr">
        <is>
          <t>Math: Math on a Camping Trip</t>
        </is>
      </c>
      <c r="O584" s="15" t="inlineStr">
        <is>
          <t>Yes</t>
        </is>
      </c>
      <c r="P584" s="15" t="inlineStr">
        <is>
          <t>P3</t>
        </is>
      </c>
      <c r="Q584" s="15" t="inlineStr">
        <is>
          <t>Idea</t>
        </is>
      </c>
      <c r="R584" s="48">
        <f>INDEX('Start Here'!$B$10:$B$16,WEEKDAY(C584,2))</f>
        <v/>
      </c>
      <c r="S584" s="48">
        <f>MOD(R584+'Start Here'!$B$6/24,1)</f>
        <v/>
      </c>
      <c r="T584" s="15" t="n"/>
      <c r="U584" s="15" t="n"/>
      <c r="V584" s="15" t="n"/>
      <c r="W584" s="15" t="n"/>
      <c r="X584" s="20" t="n"/>
      <c r="Y584" s="15" t="n"/>
    </row>
    <row r="585">
      <c r="A585" s="15" t="n">
        <v>584</v>
      </c>
      <c r="B585" s="16">
        <f>INT((A585-1)/7)+1</f>
        <v/>
      </c>
      <c r="C585" s="47">
        <f>'Start Here'!$B$5+A585-1</f>
        <v/>
      </c>
      <c r="D585" s="16">
        <f>TEXT(C585,"ddd")</f>
        <v/>
      </c>
      <c r="E585" s="15" t="inlineStr">
        <is>
          <t>Word Wednesday</t>
        </is>
      </c>
      <c r="F585" s="22" t="inlineStr">
        <is>
          <t>🔤 English/French Words</t>
        </is>
      </c>
      <c r="G585" s="15" t="n">
        <v>84</v>
      </c>
      <c r="H585" s="15" t="inlineStr">
        <is>
          <t>20 English Nature Words</t>
        </is>
      </c>
      <c r="I585" s="15" t="inlineStr">
        <is>
          <t>20 English Nature Words 🔤 | Kids Vocabulary | Tiny Sparks</t>
        </is>
      </c>
      <c r="J585" s="15" t="inlineStr">
        <is>
          <t>3–5</t>
        </is>
      </c>
      <c r="K585" s="15" t="inlineStr">
        <is>
          <t>Long 16:9</t>
        </is>
      </c>
      <c r="L585" s="15" t="inlineStr">
        <is>
          <t>4–8 min</t>
        </is>
      </c>
      <c r="M585" s="15" t="inlineStr">
        <is>
          <t>Mila + French narrator</t>
        </is>
      </c>
      <c r="N585" s="15" t="inlineStr">
        <is>
          <t>Vocabulary EN→FR: 20 English Nature Words</t>
        </is>
      </c>
      <c r="O585" s="15" t="inlineStr">
        <is>
          <t>Yes</t>
        </is>
      </c>
      <c r="P585" s="15" t="inlineStr">
        <is>
          <t>P3</t>
        </is>
      </c>
      <c r="Q585" s="15" t="inlineStr">
        <is>
          <t>Idea</t>
        </is>
      </c>
      <c r="R585" s="48">
        <f>INDEX('Start Here'!$B$10:$B$16,WEEKDAY(C585,2))</f>
        <v/>
      </c>
      <c r="S585" s="48">
        <f>MOD(R585+'Start Here'!$B$6/24,1)</f>
        <v/>
      </c>
      <c r="T585" s="15" t="n"/>
      <c r="U585" s="15" t="n"/>
      <c r="V585" s="15" t="n"/>
      <c r="W585" s="15" t="n"/>
      <c r="X585" s="20" t="n"/>
      <c r="Y585" s="15" t="n"/>
    </row>
    <row r="586">
      <c r="A586" s="15" t="n">
        <v>585</v>
      </c>
      <c r="B586" s="16">
        <f>INT((A586-1)/7)+1</f>
        <v/>
      </c>
      <c r="C586" s="47">
        <f>'Start Here'!$B$5+A586-1</f>
        <v/>
      </c>
      <c r="D586" s="16">
        <f>TEXT(C586,"ddd")</f>
        <v/>
      </c>
      <c r="E586" s="15" t="inlineStr">
        <is>
          <t>Animal Thursday</t>
        </is>
      </c>
      <c r="F586" s="23" t="inlineStr">
        <is>
          <t>🦁 Animal Stories</t>
        </is>
      </c>
      <c r="G586" s="15" t="n">
        <v>84</v>
      </c>
      <c r="H586" s="15" t="inlineStr">
        <is>
          <t>The Flying Elephant</t>
        </is>
      </c>
      <c r="I586" s="15" t="inlineStr">
        <is>
          <t>The Flying Elephant 🦁 | Animal Stories for Kids | Tiny Sparks</t>
        </is>
      </c>
      <c r="J586" s="15" t="inlineStr">
        <is>
          <t>3–5</t>
        </is>
      </c>
      <c r="K586" s="15" t="inlineStr">
        <is>
          <t>Long 16:9 + Short teaser</t>
        </is>
      </c>
      <c r="L586" s="15" t="inlineStr">
        <is>
          <t>3–5 min (Short: 50 s)</t>
        </is>
      </c>
      <c r="M586" s="15" t="inlineStr">
        <is>
          <t>guest animal(s) + Bobo</t>
        </is>
      </c>
      <c r="N586" s="15" t="inlineStr">
        <is>
          <t>Story + 3 true animal facts; value: friendship</t>
        </is>
      </c>
      <c r="O586" s="15" t="inlineStr">
        <is>
          <t>Build first: elephant</t>
        </is>
      </c>
      <c r="P586" s="15" t="inlineStr">
        <is>
          <t>P3</t>
        </is>
      </c>
      <c r="Q586" s="15" t="inlineStr">
        <is>
          <t>Idea</t>
        </is>
      </c>
      <c r="R586" s="48">
        <f>INDEX('Start Here'!$B$10:$B$16,WEEKDAY(C586,2))</f>
        <v/>
      </c>
      <c r="S586" s="48">
        <f>MOD(R586+'Start Here'!$B$6/24,1)</f>
        <v/>
      </c>
      <c r="T586" s="15" t="n"/>
      <c r="U586" s="15" t="n"/>
      <c r="V586" s="15" t="n"/>
      <c r="W586" s="15" t="n"/>
      <c r="X586" s="20" t="n"/>
      <c r="Y586" s="15" t="n"/>
    </row>
    <row r="587">
      <c r="A587" s="15" t="n">
        <v>586</v>
      </c>
      <c r="B587" s="16">
        <f>INT((A587-1)/7)+1</f>
        <v/>
      </c>
      <c r="C587" s="47">
        <f>'Start Here'!$B$5+A587-1</f>
        <v/>
      </c>
      <c r="D587" s="16">
        <f>TEXT(C587,"ddd")</f>
        <v/>
      </c>
      <c r="E587" s="15" t="inlineStr">
        <is>
          <t>Science Friday</t>
        </is>
      </c>
      <c r="F587" s="24" t="inlineStr">
        <is>
          <t>🚀 Science for Kids</t>
        </is>
      </c>
      <c r="G587" s="15" t="n">
        <v>84</v>
      </c>
      <c r="H587" s="15" t="inlineStr">
        <is>
          <t>Why Do Magnets Attract Metal?</t>
        </is>
      </c>
      <c r="I587" s="15" t="inlineStr">
        <is>
          <t>Why Do Magnets Attract Metal? 🚀 | Science for Kids | Tiny Sparks</t>
        </is>
      </c>
      <c r="J587" s="15" t="inlineStr">
        <is>
          <t>6–8</t>
        </is>
      </c>
      <c r="K587" s="15" t="inlineStr">
        <is>
          <t>Short 9:16</t>
        </is>
      </c>
      <c r="L587" s="15" t="inlineStr">
        <is>
          <t>45–60 s</t>
        </is>
      </c>
      <c r="M587" s="15" t="inlineStr">
        <is>
          <t>Prof. Hoot + Leo (wrong guess) + Mila</t>
        </is>
      </c>
      <c r="N587" s="15" t="inlineStr">
        <is>
          <t>Answer simply: Why Do Magnets Attract Metal?</t>
        </is>
      </c>
      <c r="O587" s="15" t="inlineStr">
        <is>
          <t>Yes</t>
        </is>
      </c>
      <c r="P587" s="15" t="inlineStr">
        <is>
          <t>P3</t>
        </is>
      </c>
      <c r="Q587" s="15" t="inlineStr">
        <is>
          <t>Idea</t>
        </is>
      </c>
      <c r="R587" s="48">
        <f>INDEX('Start Here'!$B$10:$B$16,WEEKDAY(C587,2))</f>
        <v/>
      </c>
      <c r="S587" s="48">
        <f>MOD(R587+'Start Here'!$B$6/24,1)</f>
        <v/>
      </c>
      <c r="T587" s="15" t="n"/>
      <c r="U587" s="15" t="n"/>
      <c r="V587" s="15" t="n"/>
      <c r="W587" s="15" t="n"/>
      <c r="X587" s="20" t="n"/>
      <c r="Y587" s="15" t="n"/>
    </row>
    <row r="588">
      <c r="A588" s="15" t="n">
        <v>587</v>
      </c>
      <c r="B588" s="16">
        <f>INT((A588-1)/7)+1</f>
        <v/>
      </c>
      <c r="C588" s="47">
        <f>'Start Here'!$B$5+A588-1</f>
        <v/>
      </c>
      <c r="D588" s="16">
        <f>TEXT(C588,"ddd")</f>
        <v/>
      </c>
      <c r="E588" s="15" t="inlineStr">
        <is>
          <t>Puzzle Saturday</t>
        </is>
      </c>
      <c r="F588" s="25" t="inlineStr">
        <is>
          <t>🧩 Puzzles &amp; Problem-Solving</t>
        </is>
      </c>
      <c r="G588" s="15" t="n">
        <v>84</v>
      </c>
      <c r="H588" s="15" t="inlineStr">
        <is>
          <t>Family Logic Puzzle</t>
        </is>
      </c>
      <c r="I588" s="15" t="inlineStr">
        <is>
          <t>Family Logic Puzzle 🧩 | Brain Games for Kids | Tiny Sparks</t>
        </is>
      </c>
      <c r="J588" s="15" t="inlineStr">
        <is>
          <t>6–8</t>
        </is>
      </c>
      <c r="K588" s="15" t="inlineStr">
        <is>
          <t>Short 9:16</t>
        </is>
      </c>
      <c r="L588" s="15" t="inlineStr">
        <is>
          <t>45–60 s</t>
        </is>
      </c>
      <c r="M588" s="15" t="inlineStr">
        <is>
          <t>Prof. Hoot + Leo + score strip</t>
        </is>
      </c>
      <c r="N588" s="15" t="inlineStr">
        <is>
          <t>Thinking skill: logic</t>
        </is>
      </c>
      <c r="O588" s="15" t="inlineStr">
        <is>
          <t>Yes</t>
        </is>
      </c>
      <c r="P588" s="15" t="inlineStr">
        <is>
          <t>P3</t>
        </is>
      </c>
      <c r="Q588" s="15" t="inlineStr">
        <is>
          <t>Idea</t>
        </is>
      </c>
      <c r="R588" s="48">
        <f>INDEX('Start Here'!$B$10:$B$16,WEEKDAY(C588,2))</f>
        <v/>
      </c>
      <c r="S588" s="48">
        <f>MOD(R588+'Start Here'!$B$6/24,1)</f>
        <v/>
      </c>
      <c r="T588" s="15" t="n"/>
      <c r="U588" s="15" t="n"/>
      <c r="V588" s="15" t="n"/>
      <c r="W588" s="15" t="n"/>
      <c r="X588" s="20" t="n"/>
      <c r="Y588" s="15" t="n"/>
    </row>
    <row r="589">
      <c r="A589" s="15" t="n">
        <v>588</v>
      </c>
      <c r="B589" s="16">
        <f>INT((A589-1)/7)+1</f>
        <v/>
      </c>
      <c r="C589" s="47">
        <f>'Start Here'!$B$5+A589-1</f>
        <v/>
      </c>
      <c r="D589" s="16">
        <f>TEXT(C589,"ddd")</f>
        <v/>
      </c>
      <c r="E589" s="15" t="inlineStr">
        <is>
          <t>Song Sunday</t>
        </is>
      </c>
      <c r="F589" s="26" t="inlineStr">
        <is>
          <t>🎵 Educational Songs</t>
        </is>
      </c>
      <c r="G589" s="15" t="n">
        <v>84</v>
      </c>
      <c r="H589" s="15" t="inlineStr">
        <is>
          <t>Brain Challenge Song</t>
        </is>
      </c>
      <c r="I589" s="15" t="inlineStr">
        <is>
          <t>Brain Challenge Song 🎵 | Kids Songs | Tiny Sparks</t>
        </is>
      </c>
      <c r="J589" s="15" t="inlineStr">
        <is>
          <t>6–8</t>
        </is>
      </c>
      <c r="K589" s="15" t="inlineStr">
        <is>
          <t>Long 16:9 + Short cut</t>
        </is>
      </c>
      <c r="L589" s="15" t="inlineStr">
        <is>
          <t>2–3 min (Short: 45 s chorus)</t>
        </is>
      </c>
      <c r="M589" s="15" t="inlineStr">
        <is>
          <t>Mila sings, all dance</t>
        </is>
      </c>
      <c r="N589" s="15" t="inlineStr">
        <is>
          <t>Sing &amp; learn: Brain Challenge</t>
        </is>
      </c>
      <c r="O589" s="15" t="inlineStr">
        <is>
          <t>Yes</t>
        </is>
      </c>
      <c r="P589" s="15" t="inlineStr">
        <is>
          <t>P3</t>
        </is>
      </c>
      <c r="Q589" s="15" t="inlineStr">
        <is>
          <t>Idea</t>
        </is>
      </c>
      <c r="R589" s="48">
        <f>INDEX('Start Here'!$B$10:$B$16,WEEKDAY(C589,2))</f>
        <v/>
      </c>
      <c r="S589" s="48">
        <f>MOD(R589+'Start Here'!$B$6/24,1)</f>
        <v/>
      </c>
      <c r="T589" s="15" t="n"/>
      <c r="U589" s="15" t="n"/>
      <c r="V589" s="15" t="n"/>
      <c r="W589" s="15" t="n"/>
      <c r="X589" s="20" t="n"/>
      <c r="Y589" s="15" t="n"/>
    </row>
    <row r="590">
      <c r="A590" s="15" t="n">
        <v>589</v>
      </c>
      <c r="B590" s="16">
        <f>INT((A590-1)/7)+1</f>
        <v/>
      </c>
      <c r="C590" s="47">
        <f>'Start Here'!$B$5+A590-1</f>
        <v/>
      </c>
      <c r="D590" s="16">
        <f>TEXT(C590,"ddd")</f>
        <v/>
      </c>
      <c r="E590" s="15" t="inlineStr">
        <is>
          <t>Story Monday</t>
        </is>
      </c>
      <c r="F590" s="18" t="inlineStr">
        <is>
          <t>🧠 Educational Stories</t>
        </is>
      </c>
      <c r="G590" s="15" t="n">
        <v>43</v>
      </c>
      <c r="H590" s="15" t="inlineStr">
        <is>
          <t>Max Learns Why Rules Exist</t>
        </is>
      </c>
      <c r="I590" s="15" t="inlineStr">
        <is>
          <t>Leo Learns Why Rules Exist 🧠 | Kids Stories | Tiny Sparks</t>
        </is>
      </c>
      <c r="J590" s="15" t="inlineStr">
        <is>
          <t>3–5</t>
        </is>
      </c>
      <c r="K590" s="15" t="inlineStr">
        <is>
          <t>Long 16:9 + Short teaser</t>
        </is>
      </c>
      <c r="L590" s="15" t="inlineStr">
        <is>
          <t>3–5 min (Short: 50 s)</t>
        </is>
      </c>
      <c r="M590" s="15" t="inlineStr">
        <is>
          <t>Leo (lead) · Mila, Leo, Bobo + narrator</t>
        </is>
      </c>
      <c r="N590" s="15" t="inlineStr">
        <is>
          <t>Life skill: Rules Exist</t>
        </is>
      </c>
      <c r="O590" s="15" t="inlineStr">
        <is>
          <t>Yes</t>
        </is>
      </c>
      <c r="P590" s="15" t="inlineStr">
        <is>
          <t>P3</t>
        </is>
      </c>
      <c r="Q590" s="15" t="inlineStr">
        <is>
          <t>Idea</t>
        </is>
      </c>
      <c r="R590" s="48">
        <f>INDEX('Start Here'!$B$10:$B$16,WEEKDAY(C590,2))</f>
        <v/>
      </c>
      <c r="S590" s="48">
        <f>MOD(R590+'Start Here'!$B$6/24,1)</f>
        <v/>
      </c>
      <c r="T590" s="15" t="n"/>
      <c r="U590" s="15" t="n"/>
      <c r="V590" s="15" t="n"/>
      <c r="W590" s="15" t="n"/>
      <c r="X590" s="20" t="n"/>
      <c r="Y590" s="15" t="n"/>
    </row>
    <row r="591">
      <c r="A591" s="15" t="n">
        <v>590</v>
      </c>
      <c r="B591" s="16">
        <f>INT((A591-1)/7)+1</f>
        <v/>
      </c>
      <c r="C591" s="47">
        <f>'Start Here'!$B$5+A591-1</f>
        <v/>
      </c>
      <c r="D591" s="16">
        <f>TEXT(C591,"ddd")</f>
        <v/>
      </c>
      <c r="E591" s="15" t="inlineStr">
        <is>
          <t>Math Tuesday</t>
        </is>
      </c>
      <c r="F591" s="21" t="inlineStr">
        <is>
          <t>🔢 Numbers &amp; Math</t>
        </is>
      </c>
      <c r="G591" s="15" t="n">
        <v>85</v>
      </c>
      <c r="H591" s="15" t="inlineStr">
        <is>
          <t>Math on a Treasure Hunt</t>
        </is>
      </c>
      <c r="I591" s="15" t="inlineStr">
        <is>
          <t>Math on a Treasure Hunt 🔢 | Learn Math for Kids | Tiny Sparks</t>
        </is>
      </c>
      <c r="J591" s="15" t="inlineStr">
        <is>
          <t>3–5</t>
        </is>
      </c>
      <c r="K591" s="15" t="inlineStr">
        <is>
          <t>Long 16:9</t>
        </is>
      </c>
      <c r="L591" s="15" t="inlineStr">
        <is>
          <t>4–8 min</t>
        </is>
      </c>
      <c r="M591" s="15" t="inlineStr">
        <is>
          <t>Bobo + Mila (counting fingers)</t>
        </is>
      </c>
      <c r="N591" s="15" t="inlineStr">
        <is>
          <t>Math: Math on a Treasure Hunt</t>
        </is>
      </c>
      <c r="O591" s="15" t="inlineStr">
        <is>
          <t>Yes</t>
        </is>
      </c>
      <c r="P591" s="15" t="inlineStr">
        <is>
          <t>P3</t>
        </is>
      </c>
      <c r="Q591" s="15" t="inlineStr">
        <is>
          <t>Idea</t>
        </is>
      </c>
      <c r="R591" s="48">
        <f>INDEX('Start Here'!$B$10:$B$16,WEEKDAY(C591,2))</f>
        <v/>
      </c>
      <c r="S591" s="48">
        <f>MOD(R591+'Start Here'!$B$6/24,1)</f>
        <v/>
      </c>
      <c r="T591" s="15" t="n"/>
      <c r="U591" s="15" t="n"/>
      <c r="V591" s="15" t="n"/>
      <c r="W591" s="15" t="n"/>
      <c r="X591" s="20" t="n"/>
      <c r="Y591" s="15" t="n"/>
    </row>
    <row r="592">
      <c r="A592" s="15" t="n">
        <v>591</v>
      </c>
      <c r="B592" s="16">
        <f>INT((A592-1)/7)+1</f>
        <v/>
      </c>
      <c r="C592" s="47">
        <f>'Start Here'!$B$5+A592-1</f>
        <v/>
      </c>
      <c r="D592" s="16">
        <f>TEXT(C592,"ddd")</f>
        <v/>
      </c>
      <c r="E592" s="15" t="inlineStr">
        <is>
          <t>Word Wednesday</t>
        </is>
      </c>
      <c r="F592" s="22" t="inlineStr">
        <is>
          <t>🔤 English/French Words</t>
        </is>
      </c>
      <c r="G592" s="15" t="n">
        <v>85</v>
      </c>
      <c r="H592" s="15" t="inlineStr">
        <is>
          <t>20 French Nature Words</t>
        </is>
      </c>
      <c r="I592" s="15" t="inlineStr">
        <is>
          <t>20 French Nature Words 🔤 | Kids Vocabulary | Tiny Sparks</t>
        </is>
      </c>
      <c r="J592" s="15" t="inlineStr">
        <is>
          <t>3–5</t>
        </is>
      </c>
      <c r="K592" s="15" t="inlineStr">
        <is>
          <t>Long 16:9</t>
        </is>
      </c>
      <c r="L592" s="15" t="inlineStr">
        <is>
          <t>4–8 min</t>
        </is>
      </c>
      <c r="M592" s="15" t="inlineStr">
        <is>
          <t>Mila + French narrator</t>
        </is>
      </c>
      <c r="N592" s="15" t="inlineStr">
        <is>
          <t>Vocabulary EN→FR: 20 French Nature Words</t>
        </is>
      </c>
      <c r="O592" s="15" t="inlineStr">
        <is>
          <t>Yes</t>
        </is>
      </c>
      <c r="P592" s="15" t="inlineStr">
        <is>
          <t>P3</t>
        </is>
      </c>
      <c r="Q592" s="15" t="inlineStr">
        <is>
          <t>Idea</t>
        </is>
      </c>
      <c r="R592" s="48">
        <f>INDEX('Start Here'!$B$10:$B$16,WEEKDAY(C592,2))</f>
        <v/>
      </c>
      <c r="S592" s="48">
        <f>MOD(R592+'Start Here'!$B$6/24,1)</f>
        <v/>
      </c>
      <c r="T592" s="15" t="n"/>
      <c r="U592" s="15" t="n"/>
      <c r="V592" s="15" t="n"/>
      <c r="W592" s="15" t="n"/>
      <c r="X592" s="20" t="n"/>
      <c r="Y592" s="15" t="n"/>
    </row>
    <row r="593">
      <c r="A593" s="15" t="n">
        <v>592</v>
      </c>
      <c r="B593" s="16">
        <f>INT((A593-1)/7)+1</f>
        <v/>
      </c>
      <c r="C593" s="47">
        <f>'Start Here'!$B$5+A593-1</f>
        <v/>
      </c>
      <c r="D593" s="16">
        <f>TEXT(C593,"ddd")</f>
        <v/>
      </c>
      <c r="E593" s="15" t="inlineStr">
        <is>
          <t>Animal Thursday</t>
        </is>
      </c>
      <c r="F593" s="23" t="inlineStr">
        <is>
          <t>🦁 Animal Stories</t>
        </is>
      </c>
      <c r="G593" s="15" t="n">
        <v>85</v>
      </c>
      <c r="H593" s="15" t="inlineStr">
        <is>
          <t>The Underwater Animal City</t>
        </is>
      </c>
      <c r="I593" s="15" t="inlineStr">
        <is>
          <t>The Underwater Animal City 🦁 | Animal Stories for Kids | Tiny Sparks</t>
        </is>
      </c>
      <c r="J593" s="15" t="inlineStr">
        <is>
          <t>3–5</t>
        </is>
      </c>
      <c r="K593" s="15" t="inlineStr">
        <is>
          <t>Long 16:9 + Short teaser</t>
        </is>
      </c>
      <c r="L593" s="15" t="inlineStr">
        <is>
          <t>3–5 min (Short: 50 s)</t>
        </is>
      </c>
      <c r="M593" s="15" t="inlineStr">
        <is>
          <t>guest animal(s) + Bobo</t>
        </is>
      </c>
      <c r="N593" s="15" t="inlineStr">
        <is>
          <t>Story + 3 true animal facts; value: caring for the planet</t>
        </is>
      </c>
      <c r="O593" s="15" t="inlineStr">
        <is>
          <t>Yes</t>
        </is>
      </c>
      <c r="P593" s="15" t="inlineStr">
        <is>
          <t>P3</t>
        </is>
      </c>
      <c r="Q593" s="15" t="inlineStr">
        <is>
          <t>Idea</t>
        </is>
      </c>
      <c r="R593" s="48">
        <f>INDEX('Start Here'!$B$10:$B$16,WEEKDAY(C593,2))</f>
        <v/>
      </c>
      <c r="S593" s="48">
        <f>MOD(R593+'Start Here'!$B$6/24,1)</f>
        <v/>
      </c>
      <c r="T593" s="15" t="n"/>
      <c r="U593" s="15" t="n"/>
      <c r="V593" s="15" t="n"/>
      <c r="W593" s="15" t="n"/>
      <c r="X593" s="20" t="n"/>
      <c r="Y593" s="15" t="n"/>
    </row>
    <row r="594">
      <c r="A594" s="15" t="n">
        <v>593</v>
      </c>
      <c r="B594" s="16">
        <f>INT((A594-1)/7)+1</f>
        <v/>
      </c>
      <c r="C594" s="47">
        <f>'Start Here'!$B$5+A594-1</f>
        <v/>
      </c>
      <c r="D594" s="16">
        <f>TEXT(C594,"ddd")</f>
        <v/>
      </c>
      <c r="E594" s="15" t="inlineStr">
        <is>
          <t>Science Friday</t>
        </is>
      </c>
      <c r="F594" s="24" t="inlineStr">
        <is>
          <t>🚀 Science for Kids</t>
        </is>
      </c>
      <c r="G594" s="15" t="n">
        <v>85</v>
      </c>
      <c r="H594" s="15" t="inlineStr">
        <is>
          <t>What Is Sound?</t>
        </is>
      </c>
      <c r="I594" s="15" t="inlineStr">
        <is>
          <t>What Is Sound? 🚀 | Science for Kids | Tiny Sparks</t>
        </is>
      </c>
      <c r="J594" s="15" t="inlineStr">
        <is>
          <t>3–5</t>
        </is>
      </c>
      <c r="K594" s="15" t="inlineStr">
        <is>
          <t>Short 9:16</t>
        </is>
      </c>
      <c r="L594" s="15" t="inlineStr">
        <is>
          <t>45–60 s</t>
        </is>
      </c>
      <c r="M594" s="15" t="inlineStr">
        <is>
          <t>Prof. Hoot + Leo (wrong guess) + Mila</t>
        </is>
      </c>
      <c r="N594" s="15" t="inlineStr">
        <is>
          <t>Answer simply: What Is Sound?</t>
        </is>
      </c>
      <c r="O594" s="15" t="inlineStr">
        <is>
          <t>Yes</t>
        </is>
      </c>
      <c r="P594" s="15" t="inlineStr">
        <is>
          <t>P3</t>
        </is>
      </c>
      <c r="Q594" s="15" t="inlineStr">
        <is>
          <t>Idea</t>
        </is>
      </c>
      <c r="R594" s="48">
        <f>INDEX('Start Here'!$B$10:$B$16,WEEKDAY(C594,2))</f>
        <v/>
      </c>
      <c r="S594" s="48">
        <f>MOD(R594+'Start Here'!$B$6/24,1)</f>
        <v/>
      </c>
      <c r="T594" s="15" t="n"/>
      <c r="U594" s="15" t="n"/>
      <c r="V594" s="15" t="n"/>
      <c r="W594" s="15" t="n"/>
      <c r="X594" s="20" t="n"/>
      <c r="Y594" s="15" t="n"/>
    </row>
    <row r="595">
      <c r="A595" s="15" t="n">
        <v>594</v>
      </c>
      <c r="B595" s="16">
        <f>INT((A595-1)/7)+1</f>
        <v/>
      </c>
      <c r="C595" s="47">
        <f>'Start Here'!$B$5+A595-1</f>
        <v/>
      </c>
      <c r="D595" s="16">
        <f>TEXT(C595,"ddd")</f>
        <v/>
      </c>
      <c r="E595" s="15" t="inlineStr">
        <is>
          <t>Puzzle Saturday</t>
        </is>
      </c>
      <c r="F595" s="25" t="inlineStr">
        <is>
          <t>🧩 Puzzles &amp; Problem-Solving</t>
        </is>
      </c>
      <c r="G595" s="15" t="n">
        <v>85</v>
      </c>
      <c r="H595" s="15" t="inlineStr">
        <is>
          <t>Food Logic Puzzle</t>
        </is>
      </c>
      <c r="I595" s="15" t="inlineStr">
        <is>
          <t>Food Logic Puzzle 🧩 | Brain Games for Kids | Tiny Sparks</t>
        </is>
      </c>
      <c r="J595" s="15" t="inlineStr">
        <is>
          <t>6–8</t>
        </is>
      </c>
      <c r="K595" s="15" t="inlineStr">
        <is>
          <t>Short 9:16</t>
        </is>
      </c>
      <c r="L595" s="15" t="inlineStr">
        <is>
          <t>45–60 s</t>
        </is>
      </c>
      <c r="M595" s="15" t="inlineStr">
        <is>
          <t>Prof. Hoot + Leo + score strip</t>
        </is>
      </c>
      <c r="N595" s="15" t="inlineStr">
        <is>
          <t>Thinking skill: logic</t>
        </is>
      </c>
      <c r="O595" s="15" t="inlineStr">
        <is>
          <t>Yes</t>
        </is>
      </c>
      <c r="P595" s="15" t="inlineStr">
        <is>
          <t>P3</t>
        </is>
      </c>
      <c r="Q595" s="15" t="inlineStr">
        <is>
          <t>Idea</t>
        </is>
      </c>
      <c r="R595" s="48">
        <f>INDEX('Start Here'!$B$10:$B$16,WEEKDAY(C595,2))</f>
        <v/>
      </c>
      <c r="S595" s="48">
        <f>MOD(R595+'Start Here'!$B$6/24,1)</f>
        <v/>
      </c>
      <c r="T595" s="15" t="n"/>
      <c r="U595" s="15" t="n"/>
      <c r="V595" s="15" t="n"/>
      <c r="W595" s="15" t="n"/>
      <c r="X595" s="20" t="n"/>
      <c r="Y595" s="15" t="n"/>
    </row>
    <row r="596">
      <c r="A596" s="15" t="n">
        <v>595</v>
      </c>
      <c r="B596" s="16">
        <f>INT((A596-1)/7)+1</f>
        <v/>
      </c>
      <c r="C596" s="47">
        <f>'Start Here'!$B$5+A596-1</f>
        <v/>
      </c>
      <c r="D596" s="16">
        <f>TEXT(C596,"ddd")</f>
        <v/>
      </c>
      <c r="E596" s="15" t="inlineStr">
        <is>
          <t>Song Sunday</t>
        </is>
      </c>
      <c r="F596" s="26" t="inlineStr">
        <is>
          <t>🎵 Educational Songs</t>
        </is>
      </c>
      <c r="G596" s="15" t="n">
        <v>85</v>
      </c>
      <c r="H596" s="15" t="inlineStr">
        <is>
          <t>Memory Game Song</t>
        </is>
      </c>
      <c r="I596" s="15" t="inlineStr">
        <is>
          <t>Memory Game Song 🎵 | Kids Songs | Tiny Sparks</t>
        </is>
      </c>
      <c r="J596" s="15" t="inlineStr">
        <is>
          <t>6–8</t>
        </is>
      </c>
      <c r="K596" s="15" t="inlineStr">
        <is>
          <t>Long 16:9 + Short cut</t>
        </is>
      </c>
      <c r="L596" s="15" t="inlineStr">
        <is>
          <t>2–3 min (Short: 45 s chorus)</t>
        </is>
      </c>
      <c r="M596" s="15" t="inlineStr">
        <is>
          <t>Mila sings, all dance</t>
        </is>
      </c>
      <c r="N596" s="15" t="inlineStr">
        <is>
          <t>Sing &amp; learn: Memory Game</t>
        </is>
      </c>
      <c r="O596" s="15" t="inlineStr">
        <is>
          <t>Yes</t>
        </is>
      </c>
      <c r="P596" s="15" t="inlineStr">
        <is>
          <t>P3</t>
        </is>
      </c>
      <c r="Q596" s="15" t="inlineStr">
        <is>
          <t>Idea</t>
        </is>
      </c>
      <c r="R596" s="48">
        <f>INDEX('Start Here'!$B$10:$B$16,WEEKDAY(C596,2))</f>
        <v/>
      </c>
      <c r="S596" s="48">
        <f>MOD(R596+'Start Here'!$B$6/24,1)</f>
        <v/>
      </c>
      <c r="T596" s="15" t="n"/>
      <c r="U596" s="15" t="n"/>
      <c r="V596" s="15" t="n"/>
      <c r="W596" s="15" t="n"/>
      <c r="X596" s="20" t="n"/>
      <c r="Y596" s="15" t="n"/>
    </row>
    <row r="597">
      <c r="A597" s="15" t="n">
        <v>596</v>
      </c>
      <c r="B597" s="16">
        <f>INT((A597-1)/7)+1</f>
        <v/>
      </c>
      <c r="C597" s="47">
        <f>'Start Here'!$B$5+A597-1</f>
        <v/>
      </c>
      <c r="D597" s="16">
        <f>TEXT(C597,"ddd")</f>
        <v/>
      </c>
      <c r="E597" s="15" t="inlineStr">
        <is>
          <t>Story Monday</t>
        </is>
      </c>
      <c r="F597" s="27" t="inlineStr">
        <is>
          <t>📚 Moral Stories</t>
        </is>
      </c>
      <c r="G597" s="15" t="n">
        <v>43</v>
      </c>
      <c r="H597" s="15" t="inlineStr">
        <is>
          <t>The Animals Who Cleaned the Forest</t>
        </is>
      </c>
      <c r="I597" s="15" t="inlineStr">
        <is>
          <t>The Animals Who Cleaned the Forest 📚 | Moral Stories for Kids | Tiny Sparks</t>
        </is>
      </c>
      <c r="J597" s="15" t="inlineStr">
        <is>
          <t>3–5</t>
        </is>
      </c>
      <c r="K597" s="15" t="inlineStr">
        <is>
          <t>Long 16:9 + Short teaser</t>
        </is>
      </c>
      <c r="L597" s="15" t="inlineStr">
        <is>
          <t>3–5 min (Short: 50 s)</t>
        </is>
      </c>
      <c r="M597" s="15" t="inlineStr">
        <is>
          <t>narrator + guest animals / Mila &amp; Leo</t>
        </is>
      </c>
      <c r="N597" s="15" t="inlineStr">
        <is>
          <t>Value: caring for the planet</t>
        </is>
      </c>
      <c r="O597" s="15" t="inlineStr">
        <is>
          <t>Yes</t>
        </is>
      </c>
      <c r="P597" s="15" t="inlineStr">
        <is>
          <t>P3</t>
        </is>
      </c>
      <c r="Q597" s="15" t="inlineStr">
        <is>
          <t>Idea</t>
        </is>
      </c>
      <c r="R597" s="48">
        <f>INDEX('Start Here'!$B$10:$B$16,WEEKDAY(C597,2))</f>
        <v/>
      </c>
      <c r="S597" s="48">
        <f>MOD(R597+'Start Here'!$B$6/24,1)</f>
        <v/>
      </c>
      <c r="T597" s="15" t="n"/>
      <c r="U597" s="15" t="n"/>
      <c r="V597" s="15" t="n"/>
      <c r="W597" s="15" t="n"/>
      <c r="X597" s="20" t="n"/>
      <c r="Y597" s="15" t="n"/>
    </row>
    <row r="598">
      <c r="A598" s="15" t="n">
        <v>597</v>
      </c>
      <c r="B598" s="16">
        <f>INT((A598-1)/7)+1</f>
        <v/>
      </c>
      <c r="C598" s="47">
        <f>'Start Here'!$B$5+A598-1</f>
        <v/>
      </c>
      <c r="D598" s="16">
        <f>TEXT(C598,"ddd")</f>
        <v/>
      </c>
      <c r="E598" s="15" t="inlineStr">
        <is>
          <t>Math Tuesday</t>
        </is>
      </c>
      <c r="F598" s="21" t="inlineStr">
        <is>
          <t>🔢 Numbers &amp; Math</t>
        </is>
      </c>
      <c r="G598" s="15" t="n">
        <v>86</v>
      </c>
      <c r="H598" s="15" t="inlineStr">
        <is>
          <t>Beginner Multiplication</t>
        </is>
      </c>
      <c r="I598" s="15" t="inlineStr">
        <is>
          <t>Beginner Multiplication 🔢 | Learn Math for Kids | Tiny Sparks</t>
        </is>
      </c>
      <c r="J598" s="15" t="inlineStr">
        <is>
          <t>6–8</t>
        </is>
      </c>
      <c r="K598" s="15" t="inlineStr">
        <is>
          <t>Short 9:16</t>
        </is>
      </c>
      <c r="L598" s="15" t="inlineStr">
        <is>
          <t>45–60 s</t>
        </is>
      </c>
      <c r="M598" s="15" t="inlineStr">
        <is>
          <t>Bobo + Mila (counting fingers)</t>
        </is>
      </c>
      <c r="N598" s="15" t="inlineStr">
        <is>
          <t>Math: Beginner Multiplication</t>
        </is>
      </c>
      <c r="O598" s="15" t="inlineStr">
        <is>
          <t>Yes</t>
        </is>
      </c>
      <c r="P598" s="15" t="inlineStr">
        <is>
          <t>P3</t>
        </is>
      </c>
      <c r="Q598" s="15" t="inlineStr">
        <is>
          <t>Idea</t>
        </is>
      </c>
      <c r="R598" s="48">
        <f>INDEX('Start Here'!$B$10:$B$16,WEEKDAY(C598,2))</f>
        <v/>
      </c>
      <c r="S598" s="48">
        <f>MOD(R598+'Start Here'!$B$6/24,1)</f>
        <v/>
      </c>
      <c r="T598" s="15" t="n"/>
      <c r="U598" s="15" t="n"/>
      <c r="V598" s="15" t="n"/>
      <c r="W598" s="15" t="n"/>
      <c r="X598" s="20" t="n"/>
      <c r="Y598" s="15" t="n"/>
    </row>
    <row r="599">
      <c r="A599" s="15" t="n">
        <v>598</v>
      </c>
      <c r="B599" s="16">
        <f>INT((A599-1)/7)+1</f>
        <v/>
      </c>
      <c r="C599" s="47">
        <f>'Start Here'!$B$5+A599-1</f>
        <v/>
      </c>
      <c r="D599" s="16">
        <f>TEXT(C599,"ddd")</f>
        <v/>
      </c>
      <c r="E599" s="15" t="inlineStr">
        <is>
          <t>Word Wednesday</t>
        </is>
      </c>
      <c r="F599" s="22" t="inlineStr">
        <is>
          <t>🔤 English/French Words</t>
        </is>
      </c>
      <c r="G599" s="15" t="n">
        <v>86</v>
      </c>
      <c r="H599" s="15" t="inlineStr">
        <is>
          <t>English Colors Quiz</t>
        </is>
      </c>
      <c r="I599" s="15" t="inlineStr">
        <is>
          <t>English Colors Quiz 🔤 | Kids Vocabulary | Tiny Sparks</t>
        </is>
      </c>
      <c r="J599" s="15" t="inlineStr">
        <is>
          <t>6–8</t>
        </is>
      </c>
      <c r="K599" s="15" t="inlineStr">
        <is>
          <t>Long 16:9</t>
        </is>
      </c>
      <c r="L599" s="15" t="inlineStr">
        <is>
          <t>4–8 min</t>
        </is>
      </c>
      <c r="M599" s="15" t="inlineStr">
        <is>
          <t>Mila + French narrator</t>
        </is>
      </c>
      <c r="N599" s="15" t="inlineStr">
        <is>
          <t>Vocabulary EN→FR: English Colors Quiz</t>
        </is>
      </c>
      <c r="O599" s="15" t="inlineStr">
        <is>
          <t>Yes</t>
        </is>
      </c>
      <c r="P599" s="15" t="inlineStr">
        <is>
          <t>P3</t>
        </is>
      </c>
      <c r="Q599" s="15" t="inlineStr">
        <is>
          <t>Idea</t>
        </is>
      </c>
      <c r="R599" s="48">
        <f>INDEX('Start Here'!$B$10:$B$16,WEEKDAY(C599,2))</f>
        <v/>
      </c>
      <c r="S599" s="48">
        <f>MOD(R599+'Start Here'!$B$6/24,1)</f>
        <v/>
      </c>
      <c r="T599" s="15" t="n"/>
      <c r="U599" s="15" t="n"/>
      <c r="V599" s="15" t="n"/>
      <c r="W599" s="15" t="n"/>
      <c r="X599" s="20" t="n"/>
      <c r="Y599" s="15" t="n"/>
    </row>
    <row r="600">
      <c r="A600" s="15" t="n">
        <v>599</v>
      </c>
      <c r="B600" s="16">
        <f>INT((A600-1)/7)+1</f>
        <v/>
      </c>
      <c r="C600" s="47">
        <f>'Start Here'!$B$5+A600-1</f>
        <v/>
      </c>
      <c r="D600" s="16">
        <f>TEXT(C600,"ddd")</f>
        <v/>
      </c>
      <c r="E600" s="15" t="inlineStr">
        <is>
          <t>Animal Thursday</t>
        </is>
      </c>
      <c r="F600" s="23" t="inlineStr">
        <is>
          <t>🦁 Animal Stories</t>
        </is>
      </c>
      <c r="G600" s="15" t="n">
        <v>86</v>
      </c>
      <c r="H600" s="15" t="inlineStr">
        <is>
          <t>The Secret Jungle Library</t>
        </is>
      </c>
      <c r="I600" s="15" t="inlineStr">
        <is>
          <t>The Secret Jungle Library 🦁 | Animal Stories for Kids | Tiny Sparks</t>
        </is>
      </c>
      <c r="J600" s="15" t="inlineStr">
        <is>
          <t>3–5</t>
        </is>
      </c>
      <c r="K600" s="15" t="inlineStr">
        <is>
          <t>Long 16:9 + Short teaser</t>
        </is>
      </c>
      <c r="L600" s="15" t="inlineStr">
        <is>
          <t>3–5 min (Short: 50 s)</t>
        </is>
      </c>
      <c r="M600" s="15" t="inlineStr">
        <is>
          <t>guest animal(s) + Bobo</t>
        </is>
      </c>
      <c r="N600" s="15" t="inlineStr">
        <is>
          <t>Story + 3 true animal facts; value: friendship</t>
        </is>
      </c>
      <c r="O600" s="15" t="inlineStr">
        <is>
          <t>Build first: jungle</t>
        </is>
      </c>
      <c r="P600" s="15" t="inlineStr">
        <is>
          <t>P3</t>
        </is>
      </c>
      <c r="Q600" s="15" t="inlineStr">
        <is>
          <t>Idea</t>
        </is>
      </c>
      <c r="R600" s="48">
        <f>INDEX('Start Here'!$B$10:$B$16,WEEKDAY(C600,2))</f>
        <v/>
      </c>
      <c r="S600" s="48">
        <f>MOD(R600+'Start Here'!$B$6/24,1)</f>
        <v/>
      </c>
      <c r="T600" s="15" t="n"/>
      <c r="U600" s="15" t="n"/>
      <c r="V600" s="15" t="n"/>
      <c r="W600" s="15" t="n"/>
      <c r="X600" s="20" t="n"/>
      <c r="Y600" s="15" t="n"/>
    </row>
    <row r="601">
      <c r="A601" s="15" t="n">
        <v>600</v>
      </c>
      <c r="B601" s="16">
        <f>INT((A601-1)/7)+1</f>
        <v/>
      </c>
      <c r="C601" s="47">
        <f>'Start Here'!$B$5+A601-1</f>
        <v/>
      </c>
      <c r="D601" s="16">
        <f>TEXT(C601,"ddd")</f>
        <v/>
      </c>
      <c r="E601" s="15" t="inlineStr">
        <is>
          <t>Science Friday</t>
        </is>
      </c>
      <c r="F601" s="24" t="inlineStr">
        <is>
          <t>🚀 Science for Kids</t>
        </is>
      </c>
      <c r="G601" s="15" t="n">
        <v>86</v>
      </c>
      <c r="H601" s="15" t="inlineStr">
        <is>
          <t>How Do Shadows Work?</t>
        </is>
      </c>
      <c r="I601" s="15" t="inlineStr">
        <is>
          <t>How Do Shadows Work? 🚀 | Science for Kids | Tiny Sparks</t>
        </is>
      </c>
      <c r="J601" s="15" t="inlineStr">
        <is>
          <t>3–5</t>
        </is>
      </c>
      <c r="K601" s="15" t="inlineStr">
        <is>
          <t>Short 9:16</t>
        </is>
      </c>
      <c r="L601" s="15" t="inlineStr">
        <is>
          <t>45–60 s</t>
        </is>
      </c>
      <c r="M601" s="15" t="inlineStr">
        <is>
          <t>Prof. Hoot + Leo (wrong guess) + Mila</t>
        </is>
      </c>
      <c r="N601" s="15" t="inlineStr">
        <is>
          <t>Answer simply: How Do Shadows Work?</t>
        </is>
      </c>
      <c r="O601" s="15" t="inlineStr">
        <is>
          <t>Yes</t>
        </is>
      </c>
      <c r="P601" s="15" t="inlineStr">
        <is>
          <t>P3</t>
        </is>
      </c>
      <c r="Q601" s="15" t="inlineStr">
        <is>
          <t>Idea</t>
        </is>
      </c>
      <c r="R601" s="48">
        <f>INDEX('Start Here'!$B$10:$B$16,WEEKDAY(C601,2))</f>
        <v/>
      </c>
      <c r="S601" s="48">
        <f>MOD(R601+'Start Here'!$B$6/24,1)</f>
        <v/>
      </c>
      <c r="T601" s="15" t="n"/>
      <c r="U601" s="15" t="n"/>
      <c r="V601" s="15" t="n"/>
      <c r="W601" s="15" t="n"/>
      <c r="X601" s="20" t="n"/>
      <c r="Y601" s="15" t="n"/>
    </row>
    <row r="602">
      <c r="A602" s="15" t="n">
        <v>601</v>
      </c>
      <c r="B602" s="16">
        <f>INT((A602-1)/7)+1</f>
        <v/>
      </c>
      <c r="C602" s="47">
        <f>'Start Here'!$B$5+A602-1</f>
        <v/>
      </c>
      <c r="D602" s="16">
        <f>TEXT(C602,"ddd")</f>
        <v/>
      </c>
      <c r="E602" s="15" t="inlineStr">
        <is>
          <t>Puzzle Saturday</t>
        </is>
      </c>
      <c r="F602" s="25" t="inlineStr">
        <is>
          <t>🧩 Puzzles &amp; Problem-Solving</t>
        </is>
      </c>
      <c r="G602" s="15" t="n">
        <v>86</v>
      </c>
      <c r="H602" s="15" t="inlineStr">
        <is>
          <t>Treasure Logic Puzzle</t>
        </is>
      </c>
      <c r="I602" s="15" t="inlineStr">
        <is>
          <t>Treasure Logic Puzzle 🧩 | Brain Games for Kids | Tiny Sparks</t>
        </is>
      </c>
      <c r="J602" s="15" t="inlineStr">
        <is>
          <t>6–8</t>
        </is>
      </c>
      <c r="K602" s="15" t="inlineStr">
        <is>
          <t>Short 9:16</t>
        </is>
      </c>
      <c r="L602" s="15" t="inlineStr">
        <is>
          <t>45–60 s</t>
        </is>
      </c>
      <c r="M602" s="15" t="inlineStr">
        <is>
          <t>Prof. Hoot + Leo + score strip</t>
        </is>
      </c>
      <c r="N602" s="15" t="inlineStr">
        <is>
          <t>Thinking skill: logic</t>
        </is>
      </c>
      <c r="O602" s="15" t="inlineStr">
        <is>
          <t>Yes</t>
        </is>
      </c>
      <c r="P602" s="15" t="inlineStr">
        <is>
          <t>P3</t>
        </is>
      </c>
      <c r="Q602" s="15" t="inlineStr">
        <is>
          <t>Idea</t>
        </is>
      </c>
      <c r="R602" s="48">
        <f>INDEX('Start Here'!$B$10:$B$16,WEEKDAY(C602,2))</f>
        <v/>
      </c>
      <c r="S602" s="48">
        <f>MOD(R602+'Start Here'!$B$6/24,1)</f>
        <v/>
      </c>
      <c r="T602" s="15" t="n"/>
      <c r="U602" s="15" t="n"/>
      <c r="V602" s="15" t="n"/>
      <c r="W602" s="15" t="n"/>
      <c r="X602" s="20" t="n"/>
      <c r="Y602" s="15" t="n"/>
    </row>
    <row r="603">
      <c r="A603" s="15" t="n">
        <v>602</v>
      </c>
      <c r="B603" s="16">
        <f>INT((A603-1)/7)+1</f>
        <v/>
      </c>
      <c r="C603" s="47">
        <f>'Start Here'!$B$5+A603-1</f>
        <v/>
      </c>
      <c r="D603" s="16">
        <f>TEXT(C603,"ddd")</f>
        <v/>
      </c>
      <c r="E603" s="15" t="inlineStr">
        <is>
          <t>Song Sunday</t>
        </is>
      </c>
      <c r="F603" s="26" t="inlineStr">
        <is>
          <t>🎵 Educational Songs</t>
        </is>
      </c>
      <c r="G603" s="15" t="n">
        <v>86</v>
      </c>
      <c r="H603" s="15" t="inlineStr">
        <is>
          <t>Shape Matching Song</t>
        </is>
      </c>
      <c r="I603" s="15" t="inlineStr">
        <is>
          <t>Shape Matching Song 🎵 | Kids Songs | Tiny Sparks</t>
        </is>
      </c>
      <c r="J603" s="15" t="inlineStr">
        <is>
          <t>3–5</t>
        </is>
      </c>
      <c r="K603" s="15" t="inlineStr">
        <is>
          <t>Long 16:9 + Short cut</t>
        </is>
      </c>
      <c r="L603" s="15" t="inlineStr">
        <is>
          <t>2–3 min (Short: 45 s chorus)</t>
        </is>
      </c>
      <c r="M603" s="15" t="inlineStr">
        <is>
          <t>Mila sings, all dance</t>
        </is>
      </c>
      <c r="N603" s="15" t="inlineStr">
        <is>
          <t>Sing &amp; learn: Shape Matching</t>
        </is>
      </c>
      <c r="O603" s="15" t="inlineStr">
        <is>
          <t>Yes</t>
        </is>
      </c>
      <c r="P603" s="15" t="inlineStr">
        <is>
          <t>P3</t>
        </is>
      </c>
      <c r="Q603" s="15" t="inlineStr">
        <is>
          <t>Idea</t>
        </is>
      </c>
      <c r="R603" s="48">
        <f>INDEX('Start Here'!$B$10:$B$16,WEEKDAY(C603,2))</f>
        <v/>
      </c>
      <c r="S603" s="48">
        <f>MOD(R603+'Start Here'!$B$6/24,1)</f>
        <v/>
      </c>
      <c r="T603" s="15" t="n"/>
      <c r="U603" s="15" t="n"/>
      <c r="V603" s="15" t="n"/>
      <c r="W603" s="15" t="n"/>
      <c r="X603" s="20" t="n"/>
      <c r="Y603" s="15" t="n"/>
    </row>
    <row r="604">
      <c r="A604" s="15" t="n">
        <v>603</v>
      </c>
      <c r="B604" s="16">
        <f>INT((A604-1)/7)+1</f>
        <v/>
      </c>
      <c r="C604" s="47">
        <f>'Start Here'!$B$5+A604-1</f>
        <v/>
      </c>
      <c r="D604" s="16">
        <f>TEXT(C604,"ddd")</f>
        <v/>
      </c>
      <c r="E604" s="15" t="inlineStr">
        <is>
          <t>Story Monday</t>
        </is>
      </c>
      <c r="F604" s="18" t="inlineStr">
        <is>
          <t>🧠 Educational Stories</t>
        </is>
      </c>
      <c r="G604" s="15" t="n">
        <v>44</v>
      </c>
      <c r="H604" s="15" t="inlineStr">
        <is>
          <t>The School Garden Adventure</t>
        </is>
      </c>
      <c r="I604" s="15" t="inlineStr">
        <is>
          <t>The School Garden Adventure 🧠 | Kids Stories | Tiny Sparks</t>
        </is>
      </c>
      <c r="J604" s="15" t="inlineStr">
        <is>
          <t>3–5</t>
        </is>
      </c>
      <c r="K604" s="15" t="inlineStr">
        <is>
          <t>Long 16:9 + Short teaser</t>
        </is>
      </c>
      <c r="L604" s="15" t="inlineStr">
        <is>
          <t>3–5 min (Short: 50 s)</t>
        </is>
      </c>
      <c r="M604" s="15" t="inlineStr">
        <is>
          <t>Mila, Leo, Bobo + narrator</t>
        </is>
      </c>
      <c r="N604" s="15" t="inlineStr">
        <is>
          <t>Curiosity + problem solving</t>
        </is>
      </c>
      <c r="O604" s="15" t="inlineStr">
        <is>
          <t>Yes</t>
        </is>
      </c>
      <c r="P604" s="15" t="inlineStr">
        <is>
          <t>P3</t>
        </is>
      </c>
      <c r="Q604" s="15" t="inlineStr">
        <is>
          <t>Idea</t>
        </is>
      </c>
      <c r="R604" s="48">
        <f>INDEX('Start Here'!$B$10:$B$16,WEEKDAY(C604,2))</f>
        <v/>
      </c>
      <c r="S604" s="48">
        <f>MOD(R604+'Start Here'!$B$6/24,1)</f>
        <v/>
      </c>
      <c r="T604" s="15" t="n"/>
      <c r="U604" s="15" t="n"/>
      <c r="V604" s="15" t="n"/>
      <c r="W604" s="15" t="n"/>
      <c r="X604" s="20" t="n"/>
      <c r="Y604" s="15" t="n"/>
    </row>
    <row r="605">
      <c r="A605" s="15" t="n">
        <v>604</v>
      </c>
      <c r="B605" s="16">
        <f>INT((A605-1)/7)+1</f>
        <v/>
      </c>
      <c r="C605" s="47">
        <f>'Start Here'!$B$5+A605-1</f>
        <v/>
      </c>
      <c r="D605" s="16">
        <f>TEXT(C605,"ddd")</f>
        <v/>
      </c>
      <c r="E605" s="15" t="inlineStr">
        <is>
          <t>Math Tuesday</t>
        </is>
      </c>
      <c r="F605" s="21" t="inlineStr">
        <is>
          <t>🔢 Numbers &amp; Math</t>
        </is>
      </c>
      <c r="G605" s="15" t="n">
        <v>87</v>
      </c>
      <c r="H605" s="15" t="inlineStr">
        <is>
          <t>Multiplication by 2</t>
        </is>
      </c>
      <c r="I605" s="15" t="inlineStr">
        <is>
          <t>Multiplication by 2 🔢 | Learn Math for Kids | Tiny Sparks</t>
        </is>
      </c>
      <c r="J605" s="15" t="inlineStr">
        <is>
          <t>6–8</t>
        </is>
      </c>
      <c r="K605" s="15" t="inlineStr">
        <is>
          <t>Short 9:16</t>
        </is>
      </c>
      <c r="L605" s="15" t="inlineStr">
        <is>
          <t>45–60 s</t>
        </is>
      </c>
      <c r="M605" s="15" t="inlineStr">
        <is>
          <t>Bobo + Mila (counting fingers)</t>
        </is>
      </c>
      <c r="N605" s="15" t="inlineStr">
        <is>
          <t>Math: Multiplication by 2</t>
        </is>
      </c>
      <c r="O605" s="15" t="inlineStr">
        <is>
          <t>Yes</t>
        </is>
      </c>
      <c r="P605" s="15" t="inlineStr">
        <is>
          <t>P3</t>
        </is>
      </c>
      <c r="Q605" s="15" t="inlineStr">
        <is>
          <t>Idea</t>
        </is>
      </c>
      <c r="R605" s="48">
        <f>INDEX('Start Here'!$B$10:$B$16,WEEKDAY(C605,2))</f>
        <v/>
      </c>
      <c r="S605" s="48">
        <f>MOD(R605+'Start Here'!$B$6/24,1)</f>
        <v/>
      </c>
      <c r="T605" s="15" t="n"/>
      <c r="U605" s="15" t="n"/>
      <c r="V605" s="15" t="n"/>
      <c r="W605" s="15" t="n"/>
      <c r="X605" s="20" t="n"/>
      <c r="Y605" s="15" t="n"/>
    </row>
    <row r="606">
      <c r="A606" s="15" t="n">
        <v>605</v>
      </c>
      <c r="B606" s="16">
        <f>INT((A606-1)/7)+1</f>
        <v/>
      </c>
      <c r="C606" s="47">
        <f>'Start Here'!$B$5+A606-1</f>
        <v/>
      </c>
      <c r="D606" s="16">
        <f>TEXT(C606,"ddd")</f>
        <v/>
      </c>
      <c r="E606" s="15" t="inlineStr">
        <is>
          <t>Word Wednesday</t>
        </is>
      </c>
      <c r="F606" s="22" t="inlineStr">
        <is>
          <t>🔤 English/French Words</t>
        </is>
      </c>
      <c r="G606" s="15" t="n">
        <v>87</v>
      </c>
      <c r="H606" s="15" t="inlineStr">
        <is>
          <t>French Colors Quiz</t>
        </is>
      </c>
      <c r="I606" s="15" t="inlineStr">
        <is>
          <t>French Colors Quiz 🔤 | Kids Vocabulary | Tiny Sparks</t>
        </is>
      </c>
      <c r="J606" s="15" t="inlineStr">
        <is>
          <t>6–8</t>
        </is>
      </c>
      <c r="K606" s="15" t="inlineStr">
        <is>
          <t>Long 16:9</t>
        </is>
      </c>
      <c r="L606" s="15" t="inlineStr">
        <is>
          <t>4–8 min</t>
        </is>
      </c>
      <c r="M606" s="15" t="inlineStr">
        <is>
          <t>Mila + French narrator</t>
        </is>
      </c>
      <c r="N606" s="15" t="inlineStr">
        <is>
          <t>Vocabulary EN→FR: French Colors Quiz</t>
        </is>
      </c>
      <c r="O606" s="15" t="inlineStr">
        <is>
          <t>Yes</t>
        </is>
      </c>
      <c r="P606" s="15" t="inlineStr">
        <is>
          <t>P3</t>
        </is>
      </c>
      <c r="Q606" s="15" t="inlineStr">
        <is>
          <t>Idea</t>
        </is>
      </c>
      <c r="R606" s="48">
        <f>INDEX('Start Here'!$B$10:$B$16,WEEKDAY(C606,2))</f>
        <v/>
      </c>
      <c r="S606" s="48">
        <f>MOD(R606+'Start Here'!$B$6/24,1)</f>
        <v/>
      </c>
      <c r="T606" s="15" t="n"/>
      <c r="U606" s="15" t="n"/>
      <c r="V606" s="15" t="n"/>
      <c r="W606" s="15" t="n"/>
      <c r="X606" s="20" t="n"/>
      <c r="Y606" s="15" t="n"/>
    </row>
    <row r="607">
      <c r="A607" s="15" t="n">
        <v>606</v>
      </c>
      <c r="B607" s="16">
        <f>INT((A607-1)/7)+1</f>
        <v/>
      </c>
      <c r="C607" s="47">
        <f>'Start Here'!$B$5+A607-1</f>
        <v/>
      </c>
      <c r="D607" s="16">
        <f>TEXT(C607,"ddd")</f>
        <v/>
      </c>
      <c r="E607" s="15" t="inlineStr">
        <is>
          <t>Animal Thursday</t>
        </is>
      </c>
      <c r="F607" s="23" t="inlineStr">
        <is>
          <t>🦁 Animal Stories</t>
        </is>
      </c>
      <c r="G607" s="15" t="n">
        <v>87</v>
      </c>
      <c r="H607" s="15" t="inlineStr">
        <is>
          <t>The Animal Time Machine</t>
        </is>
      </c>
      <c r="I607" s="15" t="inlineStr">
        <is>
          <t>The Animal Time Machine 🦁 | Animal Stories for Kids | Tiny Sparks</t>
        </is>
      </c>
      <c r="J607" s="15" t="inlineStr">
        <is>
          <t>6–8</t>
        </is>
      </c>
      <c r="K607" s="15" t="inlineStr">
        <is>
          <t>Long 16:9 + Short teaser</t>
        </is>
      </c>
      <c r="L607" s="15" t="inlineStr">
        <is>
          <t>3–5 min (Short: 50 s)</t>
        </is>
      </c>
      <c r="M607" s="15" t="inlineStr">
        <is>
          <t>guest animal(s) + Bobo</t>
        </is>
      </c>
      <c r="N607" s="15" t="inlineStr">
        <is>
          <t>Story + 3 true animal facts; value: friendship</t>
        </is>
      </c>
      <c r="O607" s="15" t="inlineStr">
        <is>
          <t>Yes</t>
        </is>
      </c>
      <c r="P607" s="15" t="inlineStr">
        <is>
          <t>P3</t>
        </is>
      </c>
      <c r="Q607" s="15" t="inlineStr">
        <is>
          <t>Idea</t>
        </is>
      </c>
      <c r="R607" s="48">
        <f>INDEX('Start Here'!$B$10:$B$16,WEEKDAY(C607,2))</f>
        <v/>
      </c>
      <c r="S607" s="48">
        <f>MOD(R607+'Start Here'!$B$6/24,1)</f>
        <v/>
      </c>
      <c r="T607" s="15" t="n"/>
      <c r="U607" s="15" t="n"/>
      <c r="V607" s="15" t="n"/>
      <c r="W607" s="15" t="n"/>
      <c r="X607" s="20" t="n"/>
      <c r="Y607" s="15" t="n"/>
    </row>
    <row r="608">
      <c r="A608" s="15" t="n">
        <v>607</v>
      </c>
      <c r="B608" s="16">
        <f>INT((A608-1)/7)+1</f>
        <v/>
      </c>
      <c r="C608" s="47">
        <f>'Start Here'!$B$5+A608-1</f>
        <v/>
      </c>
      <c r="D608" s="16">
        <f>TEXT(C608,"ddd")</f>
        <v/>
      </c>
      <c r="E608" s="15" t="inlineStr">
        <is>
          <t>Science Friday</t>
        </is>
      </c>
      <c r="F608" s="24" t="inlineStr">
        <is>
          <t>🚀 Science for Kids</t>
        </is>
      </c>
      <c r="G608" s="15" t="n">
        <v>87</v>
      </c>
      <c r="H608" s="15" t="inlineStr">
        <is>
          <t>How Does a Mirror Work?</t>
        </is>
      </c>
      <c r="I608" s="15" t="inlineStr">
        <is>
          <t>How Does a Mirror Work? 🚀 | Science for Kids | Tiny Sparks</t>
        </is>
      </c>
      <c r="J608" s="15" t="inlineStr">
        <is>
          <t>3–5</t>
        </is>
      </c>
      <c r="K608" s="15" t="inlineStr">
        <is>
          <t>Short 9:16</t>
        </is>
      </c>
      <c r="L608" s="15" t="inlineStr">
        <is>
          <t>45–60 s</t>
        </is>
      </c>
      <c r="M608" s="15" t="inlineStr">
        <is>
          <t>Prof. Hoot + Leo (wrong guess) + Mila</t>
        </is>
      </c>
      <c r="N608" s="15" t="inlineStr">
        <is>
          <t>Answer simply: How Does a Mirror Work?</t>
        </is>
      </c>
      <c r="O608" s="15" t="inlineStr">
        <is>
          <t>Yes</t>
        </is>
      </c>
      <c r="P608" s="15" t="inlineStr">
        <is>
          <t>P3</t>
        </is>
      </c>
      <c r="Q608" s="15" t="inlineStr">
        <is>
          <t>Idea</t>
        </is>
      </c>
      <c r="R608" s="48">
        <f>INDEX('Start Here'!$B$10:$B$16,WEEKDAY(C608,2))</f>
        <v/>
      </c>
      <c r="S608" s="48">
        <f>MOD(R608+'Start Here'!$B$6/24,1)</f>
        <v/>
      </c>
      <c r="T608" s="15" t="n"/>
      <c r="U608" s="15" t="n"/>
      <c r="V608" s="15" t="n"/>
      <c r="W608" s="15" t="n"/>
      <c r="X608" s="20" t="n"/>
      <c r="Y608" s="15" t="n"/>
    </row>
    <row r="609">
      <c r="A609" s="15" t="n">
        <v>608</v>
      </c>
      <c r="B609" s="16">
        <f>INT((A609-1)/7)+1</f>
        <v/>
      </c>
      <c r="C609" s="47">
        <f>'Start Here'!$B$5+A609-1</f>
        <v/>
      </c>
      <c r="D609" s="16">
        <f>TEXT(C609,"ddd")</f>
        <v/>
      </c>
      <c r="E609" s="15" t="inlineStr">
        <is>
          <t>Puzzle Saturday</t>
        </is>
      </c>
      <c r="F609" s="25" t="inlineStr">
        <is>
          <t>🧩 Puzzles &amp; Problem-Solving</t>
        </is>
      </c>
      <c r="G609" s="15" t="n">
        <v>87</v>
      </c>
      <c r="H609" s="15" t="inlineStr">
        <is>
          <t>Detective Mystery for Kids</t>
        </is>
      </c>
      <c r="I609" s="15" t="inlineStr">
        <is>
          <t>Detective Mystery for Kids 🧩 | Brain Games for Kids | Tiny Sparks</t>
        </is>
      </c>
      <c r="J609" s="15" t="inlineStr">
        <is>
          <t>6–8</t>
        </is>
      </c>
      <c r="K609" s="15" t="inlineStr">
        <is>
          <t>Long 16:9</t>
        </is>
      </c>
      <c r="L609" s="15" t="inlineStr">
        <is>
          <t>4–8 min</t>
        </is>
      </c>
      <c r="M609" s="15" t="inlineStr">
        <is>
          <t>Prof. Hoot + Leo + score strip</t>
        </is>
      </c>
      <c r="N609" s="15" t="inlineStr">
        <is>
          <t>Thinking skill: logic</t>
        </is>
      </c>
      <c r="O609" s="15" t="inlineStr">
        <is>
          <t>Yes</t>
        </is>
      </c>
      <c r="P609" s="15" t="inlineStr">
        <is>
          <t>P3</t>
        </is>
      </c>
      <c r="Q609" s="15" t="inlineStr">
        <is>
          <t>Idea</t>
        </is>
      </c>
      <c r="R609" s="48">
        <f>INDEX('Start Here'!$B$10:$B$16,WEEKDAY(C609,2))</f>
        <v/>
      </c>
      <c r="S609" s="48">
        <f>MOD(R609+'Start Here'!$B$6/24,1)</f>
        <v/>
      </c>
      <c r="T609" s="15" t="n"/>
      <c r="U609" s="15" t="n"/>
      <c r="V609" s="15" t="n"/>
      <c r="W609" s="15" t="n"/>
      <c r="X609" s="20" t="n"/>
      <c r="Y609" s="15" t="n"/>
    </row>
    <row r="610">
      <c r="A610" s="15" t="n">
        <v>609</v>
      </c>
      <c r="B610" s="16">
        <f>INT((A610-1)/7)+1</f>
        <v/>
      </c>
      <c r="C610" s="47">
        <f>'Start Here'!$B$5+A610-1</f>
        <v/>
      </c>
      <c r="D610" s="16">
        <f>TEXT(C610,"ddd")</f>
        <v/>
      </c>
      <c r="E610" s="15" t="inlineStr">
        <is>
          <t>Song Sunday</t>
        </is>
      </c>
      <c r="F610" s="26" t="inlineStr">
        <is>
          <t>🎵 Educational Songs</t>
        </is>
      </c>
      <c r="G610" s="15" t="n">
        <v>87</v>
      </c>
      <c r="H610" s="15" t="inlineStr">
        <is>
          <t>Number Puzzle Song</t>
        </is>
      </c>
      <c r="I610" s="15" t="inlineStr">
        <is>
          <t>Number Puzzle Song 🎵 | Kids Songs | Tiny Sparks</t>
        </is>
      </c>
      <c r="J610" s="15" t="inlineStr">
        <is>
          <t>3–5</t>
        </is>
      </c>
      <c r="K610" s="15" t="inlineStr">
        <is>
          <t>Long 16:9 + Short cut</t>
        </is>
      </c>
      <c r="L610" s="15" t="inlineStr">
        <is>
          <t>2–3 min (Short: 45 s chorus)</t>
        </is>
      </c>
      <c r="M610" s="15" t="inlineStr">
        <is>
          <t>Mila sings, all dance</t>
        </is>
      </c>
      <c r="N610" s="15" t="inlineStr">
        <is>
          <t>Sing &amp; learn: Number Puzzle</t>
        </is>
      </c>
      <c r="O610" s="15" t="inlineStr">
        <is>
          <t>Yes</t>
        </is>
      </c>
      <c r="P610" s="15" t="inlineStr">
        <is>
          <t>P3</t>
        </is>
      </c>
      <c r="Q610" s="15" t="inlineStr">
        <is>
          <t>Idea</t>
        </is>
      </c>
      <c r="R610" s="48">
        <f>INDEX('Start Here'!$B$10:$B$16,WEEKDAY(C610,2))</f>
        <v/>
      </c>
      <c r="S610" s="48">
        <f>MOD(R610+'Start Here'!$B$6/24,1)</f>
        <v/>
      </c>
      <c r="T610" s="15" t="n"/>
      <c r="U610" s="15" t="n"/>
      <c r="V610" s="15" t="n"/>
      <c r="W610" s="15" t="n"/>
      <c r="X610" s="20" t="n"/>
      <c r="Y610" s="15" t="n"/>
    </row>
    <row r="611">
      <c r="A611" s="15" t="n">
        <v>610</v>
      </c>
      <c r="B611" s="16">
        <f>INT((A611-1)/7)+1</f>
        <v/>
      </c>
      <c r="C611" s="47">
        <f>'Start Here'!$B$5+A611-1</f>
        <v/>
      </c>
      <c r="D611" s="16">
        <f>TEXT(C611,"ddd")</f>
        <v/>
      </c>
      <c r="E611" s="15" t="inlineStr">
        <is>
          <t>Story Monday</t>
        </is>
      </c>
      <c r="F611" s="27" t="inlineStr">
        <is>
          <t>📚 Moral Stories</t>
        </is>
      </c>
      <c r="G611" s="15" t="n">
        <v>44</v>
      </c>
      <c r="H611" s="15" t="inlineStr">
        <is>
          <t>The Turtle Who Protected the Ocean</t>
        </is>
      </c>
      <c r="I611" s="15" t="inlineStr">
        <is>
          <t>The Turtle Who Protected the Ocean 📚 | Moral Stories for Kids | Tiny Sparks</t>
        </is>
      </c>
      <c r="J611" s="15" t="inlineStr">
        <is>
          <t>3–5</t>
        </is>
      </c>
      <c r="K611" s="15" t="inlineStr">
        <is>
          <t>Long 16:9 + Short teaser</t>
        </is>
      </c>
      <c r="L611" s="15" t="inlineStr">
        <is>
          <t>3–5 min (Short: 50 s)</t>
        </is>
      </c>
      <c r="M611" s="15" t="inlineStr">
        <is>
          <t>narrator + guest animals / Mila &amp; Leo</t>
        </is>
      </c>
      <c r="N611" s="15" t="inlineStr">
        <is>
          <t>Value: caring for the planet</t>
        </is>
      </c>
      <c r="O611" s="15" t="inlineStr">
        <is>
          <t>Build first: turtle</t>
        </is>
      </c>
      <c r="P611" s="15" t="inlineStr">
        <is>
          <t>P3</t>
        </is>
      </c>
      <c r="Q611" s="15" t="inlineStr">
        <is>
          <t>Idea</t>
        </is>
      </c>
      <c r="R611" s="48">
        <f>INDEX('Start Here'!$B$10:$B$16,WEEKDAY(C611,2))</f>
        <v/>
      </c>
      <c r="S611" s="48">
        <f>MOD(R611+'Start Here'!$B$6/24,1)</f>
        <v/>
      </c>
      <c r="T611" s="15" t="n"/>
      <c r="U611" s="15" t="n"/>
      <c r="V611" s="15" t="n"/>
      <c r="W611" s="15" t="n"/>
      <c r="X611" s="20" t="n"/>
      <c r="Y611" s="15" t="n"/>
    </row>
    <row r="612">
      <c r="A612" s="15" t="n">
        <v>611</v>
      </c>
      <c r="B612" s="16">
        <f>INT((A612-1)/7)+1</f>
        <v/>
      </c>
      <c r="C612" s="47">
        <f>'Start Here'!$B$5+A612-1</f>
        <v/>
      </c>
      <c r="D612" s="16">
        <f>TEXT(C612,"ddd")</f>
        <v/>
      </c>
      <c r="E612" s="15" t="inlineStr">
        <is>
          <t>Math Tuesday</t>
        </is>
      </c>
      <c r="F612" s="21" t="inlineStr">
        <is>
          <t>🔢 Numbers &amp; Math</t>
        </is>
      </c>
      <c r="G612" s="15" t="n">
        <v>88</v>
      </c>
      <c r="H612" s="15" t="inlineStr">
        <is>
          <t>Multiplication by 5</t>
        </is>
      </c>
      <c r="I612" s="15" t="inlineStr">
        <is>
          <t>Multiplication by 5 🔢 | Learn Math for Kids | Tiny Sparks</t>
        </is>
      </c>
      <c r="J612" s="15" t="inlineStr">
        <is>
          <t>6–8</t>
        </is>
      </c>
      <c r="K612" s="15" t="inlineStr">
        <is>
          <t>Short 9:16</t>
        </is>
      </c>
      <c r="L612" s="15" t="inlineStr">
        <is>
          <t>45–60 s</t>
        </is>
      </c>
      <c r="M612" s="15" t="inlineStr">
        <is>
          <t>Bobo + Mila (counting fingers)</t>
        </is>
      </c>
      <c r="N612" s="15" t="inlineStr">
        <is>
          <t>Math: Multiplication by 5</t>
        </is>
      </c>
      <c r="O612" s="15" t="inlineStr">
        <is>
          <t>Yes</t>
        </is>
      </c>
      <c r="P612" s="15" t="inlineStr">
        <is>
          <t>P3</t>
        </is>
      </c>
      <c r="Q612" s="15" t="inlineStr">
        <is>
          <t>Idea</t>
        </is>
      </c>
      <c r="R612" s="48">
        <f>INDEX('Start Here'!$B$10:$B$16,WEEKDAY(C612,2))</f>
        <v/>
      </c>
      <c r="S612" s="48">
        <f>MOD(R612+'Start Here'!$B$6/24,1)</f>
        <v/>
      </c>
      <c r="T612" s="15" t="n"/>
      <c r="U612" s="15" t="n"/>
      <c r="V612" s="15" t="n"/>
      <c r="W612" s="15" t="n"/>
      <c r="X612" s="20" t="n"/>
      <c r="Y612" s="15" t="n"/>
    </row>
    <row r="613">
      <c r="A613" s="15" t="n">
        <v>612</v>
      </c>
      <c r="B613" s="16">
        <f>INT((A613-1)/7)+1</f>
        <v/>
      </c>
      <c r="C613" s="47">
        <f>'Start Here'!$B$5+A613-1</f>
        <v/>
      </c>
      <c r="D613" s="16">
        <f>TEXT(C613,"ddd")</f>
        <v/>
      </c>
      <c r="E613" s="15" t="inlineStr">
        <is>
          <t>Word Wednesday</t>
        </is>
      </c>
      <c r="F613" s="22" t="inlineStr">
        <is>
          <t>🔤 English/French Words</t>
        </is>
      </c>
      <c r="G613" s="15" t="n">
        <v>88</v>
      </c>
      <c r="H613" s="15" t="inlineStr">
        <is>
          <t>English Animal Quiz</t>
        </is>
      </c>
      <c r="I613" s="15" t="inlineStr">
        <is>
          <t>English Animal Quiz 🔤 | Kids Vocabulary | Tiny Sparks</t>
        </is>
      </c>
      <c r="J613" s="15" t="inlineStr">
        <is>
          <t>6–8</t>
        </is>
      </c>
      <c r="K613" s="15" t="inlineStr">
        <is>
          <t>Long 16:9</t>
        </is>
      </c>
      <c r="L613" s="15" t="inlineStr">
        <is>
          <t>4–8 min</t>
        </is>
      </c>
      <c r="M613" s="15" t="inlineStr">
        <is>
          <t>Mila + French narrator</t>
        </is>
      </c>
      <c r="N613" s="15" t="inlineStr">
        <is>
          <t>Vocabulary EN→FR: English Animal Quiz</t>
        </is>
      </c>
      <c r="O613" s="15" t="inlineStr">
        <is>
          <t>Yes</t>
        </is>
      </c>
      <c r="P613" s="15" t="inlineStr">
        <is>
          <t>P3</t>
        </is>
      </c>
      <c r="Q613" s="15" t="inlineStr">
        <is>
          <t>Idea</t>
        </is>
      </c>
      <c r="R613" s="48">
        <f>INDEX('Start Here'!$B$10:$B$16,WEEKDAY(C613,2))</f>
        <v/>
      </c>
      <c r="S613" s="48">
        <f>MOD(R613+'Start Here'!$B$6/24,1)</f>
        <v/>
      </c>
      <c r="T613" s="15" t="n"/>
      <c r="U613" s="15" t="n"/>
      <c r="V613" s="15" t="n"/>
      <c r="W613" s="15" t="n"/>
      <c r="X613" s="20" t="n"/>
      <c r="Y613" s="15" t="n"/>
    </row>
    <row r="614">
      <c r="A614" s="15" t="n">
        <v>613</v>
      </c>
      <c r="B614" s="16">
        <f>INT((A614-1)/7)+1</f>
        <v/>
      </c>
      <c r="C614" s="47">
        <f>'Start Here'!$B$5+A614-1</f>
        <v/>
      </c>
      <c r="D614" s="16">
        <f>TEXT(C614,"ddd")</f>
        <v/>
      </c>
      <c r="E614" s="15" t="inlineStr">
        <is>
          <t>Animal Thursday</t>
        </is>
      </c>
      <c r="F614" s="23" t="inlineStr">
        <is>
          <t>🦁 Animal Stories</t>
        </is>
      </c>
      <c r="G614" s="15" t="n">
        <v>88</v>
      </c>
      <c r="H614" s="15" t="inlineStr">
        <is>
          <t>The Animal Robot</t>
        </is>
      </c>
      <c r="I614" s="15" t="inlineStr">
        <is>
          <t>The Animal Robot 🦁 | Animal Stories for Kids | Tiny Sparks</t>
        </is>
      </c>
      <c r="J614" s="15" t="inlineStr">
        <is>
          <t>3–5</t>
        </is>
      </c>
      <c r="K614" s="15" t="inlineStr">
        <is>
          <t>Long 16:9 + Short teaser</t>
        </is>
      </c>
      <c r="L614" s="15" t="inlineStr">
        <is>
          <t>3–5 min (Short: 50 s)</t>
        </is>
      </c>
      <c r="M614" s="15" t="inlineStr">
        <is>
          <t>guest animal(s) + Bobo</t>
        </is>
      </c>
      <c r="N614" s="15" t="inlineStr">
        <is>
          <t>Story + 3 true animal facts; value: friendship</t>
        </is>
      </c>
      <c r="O614" s="15" t="inlineStr">
        <is>
          <t>Build first: robot</t>
        </is>
      </c>
      <c r="P614" s="15" t="inlineStr">
        <is>
          <t>P3</t>
        </is>
      </c>
      <c r="Q614" s="15" t="inlineStr">
        <is>
          <t>Idea</t>
        </is>
      </c>
      <c r="R614" s="48">
        <f>INDEX('Start Here'!$B$10:$B$16,WEEKDAY(C614,2))</f>
        <v/>
      </c>
      <c r="S614" s="48">
        <f>MOD(R614+'Start Here'!$B$6/24,1)</f>
        <v/>
      </c>
      <c r="T614" s="15" t="n"/>
      <c r="U614" s="15" t="n"/>
      <c r="V614" s="15" t="n"/>
      <c r="W614" s="15" t="n"/>
      <c r="X614" s="20" t="n"/>
      <c r="Y614" s="15" t="n"/>
    </row>
    <row r="615">
      <c r="A615" s="15" t="n">
        <v>614</v>
      </c>
      <c r="B615" s="16">
        <f>INT((A615-1)/7)+1</f>
        <v/>
      </c>
      <c r="C615" s="47">
        <f>'Start Here'!$B$5+A615-1</f>
        <v/>
      </c>
      <c r="D615" s="16">
        <f>TEXT(C615,"ddd")</f>
        <v/>
      </c>
      <c r="E615" s="15" t="inlineStr">
        <is>
          <t>Science Friday</t>
        </is>
      </c>
      <c r="F615" s="24" t="inlineStr">
        <is>
          <t>🚀 Science for Kids</t>
        </is>
      </c>
      <c r="G615" s="15" t="n">
        <v>88</v>
      </c>
      <c r="H615" s="15" t="inlineStr">
        <is>
          <t>What Is a Rainbow?</t>
        </is>
      </c>
      <c r="I615" s="15" t="inlineStr">
        <is>
          <t>What Is a Rainbow? 🚀 | Science for Kids | Tiny Sparks</t>
        </is>
      </c>
      <c r="J615" s="15" t="inlineStr">
        <is>
          <t>3–5</t>
        </is>
      </c>
      <c r="K615" s="15" t="inlineStr">
        <is>
          <t>Short 9:16</t>
        </is>
      </c>
      <c r="L615" s="15" t="inlineStr">
        <is>
          <t>45–60 s</t>
        </is>
      </c>
      <c r="M615" s="15" t="inlineStr">
        <is>
          <t>Prof. Hoot + Leo (wrong guess) + Mila</t>
        </is>
      </c>
      <c r="N615" s="15" t="inlineStr">
        <is>
          <t>Answer simply: What Is a Rainbow?</t>
        </is>
      </c>
      <c r="O615" s="15" t="inlineStr">
        <is>
          <t>Yes</t>
        </is>
      </c>
      <c r="P615" s="15" t="inlineStr">
        <is>
          <t>P3</t>
        </is>
      </c>
      <c r="Q615" s="15" t="inlineStr">
        <is>
          <t>Idea</t>
        </is>
      </c>
      <c r="R615" s="48">
        <f>INDEX('Start Here'!$B$10:$B$16,WEEKDAY(C615,2))</f>
        <v/>
      </c>
      <c r="S615" s="48">
        <f>MOD(R615+'Start Here'!$B$6/24,1)</f>
        <v/>
      </c>
      <c r="T615" s="15" t="n"/>
      <c r="U615" s="15" t="n"/>
      <c r="V615" s="15" t="n"/>
      <c r="W615" s="15" t="n"/>
      <c r="X615" s="20" t="n"/>
      <c r="Y615" s="15" t="n"/>
    </row>
    <row r="616">
      <c r="A616" s="15" t="n">
        <v>615</v>
      </c>
      <c r="B616" s="16">
        <f>INT((A616-1)/7)+1</f>
        <v/>
      </c>
      <c r="C616" s="47">
        <f>'Start Here'!$B$5+A616-1</f>
        <v/>
      </c>
      <c r="D616" s="16">
        <f>TEXT(C616,"ddd")</f>
        <v/>
      </c>
      <c r="E616" s="15" t="inlineStr">
        <is>
          <t>Puzzle Saturday</t>
        </is>
      </c>
      <c r="F616" s="25" t="inlineStr">
        <is>
          <t>🧩 Puzzles &amp; Problem-Solving</t>
        </is>
      </c>
      <c r="G616" s="15" t="n">
        <v>88</v>
      </c>
      <c r="H616" s="15" t="inlineStr">
        <is>
          <t>Who Took the Cookie?</t>
        </is>
      </c>
      <c r="I616" s="15" t="inlineStr">
        <is>
          <t>Who Took the Cookie? 🧩 | Brain Games for Kids | Tiny Sparks</t>
        </is>
      </c>
      <c r="J616" s="15" t="inlineStr">
        <is>
          <t>3–5</t>
        </is>
      </c>
      <c r="K616" s="15" t="inlineStr">
        <is>
          <t>Short 9:16</t>
        </is>
      </c>
      <c r="L616" s="15" t="inlineStr">
        <is>
          <t>45–60 s</t>
        </is>
      </c>
      <c r="M616" s="15" t="inlineStr">
        <is>
          <t>Prof. Hoot + Leo + score strip</t>
        </is>
      </c>
      <c r="N616" s="15" t="inlineStr">
        <is>
          <t>Thinking skill: logic</t>
        </is>
      </c>
      <c r="O616" s="15" t="inlineStr">
        <is>
          <t>Yes</t>
        </is>
      </c>
      <c r="P616" s="15" t="inlineStr">
        <is>
          <t>P3</t>
        </is>
      </c>
      <c r="Q616" s="15" t="inlineStr">
        <is>
          <t>Idea</t>
        </is>
      </c>
      <c r="R616" s="48">
        <f>INDEX('Start Here'!$B$10:$B$16,WEEKDAY(C616,2))</f>
        <v/>
      </c>
      <c r="S616" s="48">
        <f>MOD(R616+'Start Here'!$B$6/24,1)</f>
        <v/>
      </c>
      <c r="T616" s="15" t="n"/>
      <c r="U616" s="15" t="n"/>
      <c r="V616" s="15" t="n"/>
      <c r="W616" s="15" t="n"/>
      <c r="X616" s="20" t="n"/>
      <c r="Y616" s="15" t="n"/>
    </row>
    <row r="617">
      <c r="A617" s="15" t="n">
        <v>616</v>
      </c>
      <c r="B617" s="16">
        <f>INT((A617-1)/7)+1</f>
        <v/>
      </c>
      <c r="C617" s="47">
        <f>'Start Here'!$B$5+A617-1</f>
        <v/>
      </c>
      <c r="D617" s="16">
        <f>TEXT(C617,"ddd")</f>
        <v/>
      </c>
      <c r="E617" s="15" t="inlineStr">
        <is>
          <t>Song Sunday</t>
        </is>
      </c>
      <c r="F617" s="26" t="inlineStr">
        <is>
          <t>🎵 Educational Songs</t>
        </is>
      </c>
      <c r="G617" s="15" t="n">
        <v>88</v>
      </c>
      <c r="H617" s="15" t="inlineStr">
        <is>
          <t>Color Matching Song</t>
        </is>
      </c>
      <c r="I617" s="15" t="inlineStr">
        <is>
          <t>Color Matching Song 🎵 | Kids Songs | Tiny Sparks</t>
        </is>
      </c>
      <c r="J617" s="15" t="inlineStr">
        <is>
          <t>3–5</t>
        </is>
      </c>
      <c r="K617" s="15" t="inlineStr">
        <is>
          <t>Long 16:9 + Short cut</t>
        </is>
      </c>
      <c r="L617" s="15" t="inlineStr">
        <is>
          <t>2–3 min (Short: 45 s chorus)</t>
        </is>
      </c>
      <c r="M617" s="15" t="inlineStr">
        <is>
          <t>Mila sings, all dance</t>
        </is>
      </c>
      <c r="N617" s="15" t="inlineStr">
        <is>
          <t>Sing &amp; learn: Color Matching</t>
        </is>
      </c>
      <c r="O617" s="15" t="inlineStr">
        <is>
          <t>Yes</t>
        </is>
      </c>
      <c r="P617" s="15" t="inlineStr">
        <is>
          <t>P3</t>
        </is>
      </c>
      <c r="Q617" s="15" t="inlineStr">
        <is>
          <t>Idea</t>
        </is>
      </c>
      <c r="R617" s="48">
        <f>INDEX('Start Here'!$B$10:$B$16,WEEKDAY(C617,2))</f>
        <v/>
      </c>
      <c r="S617" s="48">
        <f>MOD(R617+'Start Here'!$B$6/24,1)</f>
        <v/>
      </c>
      <c r="T617" s="15" t="n"/>
      <c r="U617" s="15" t="n"/>
      <c r="V617" s="15" t="n"/>
      <c r="W617" s="15" t="n"/>
      <c r="X617" s="20" t="n"/>
      <c r="Y617" s="15" t="n"/>
    </row>
    <row r="618">
      <c r="A618" s="15" t="n">
        <v>617</v>
      </c>
      <c r="B618" s="16">
        <f>INT((A618-1)/7)+1</f>
        <v/>
      </c>
      <c r="C618" s="47">
        <f>'Start Here'!$B$5+A618-1</f>
        <v/>
      </c>
      <c r="D618" s="16">
        <f>TEXT(C618,"ddd")</f>
        <v/>
      </c>
      <c r="E618" s="15" t="inlineStr">
        <is>
          <t>Story Monday</t>
        </is>
      </c>
      <c r="F618" s="18" t="inlineStr">
        <is>
          <t>🧠 Educational Stories</t>
        </is>
      </c>
      <c r="G618" s="15" t="n">
        <v>45</v>
      </c>
      <c r="H618" s="15" t="inlineStr">
        <is>
          <t>Mia Learns to Take Care of Plants</t>
        </is>
      </c>
      <c r="I618" s="15" t="inlineStr">
        <is>
          <t>Mila Learns to Take Care of Plants 🧠 | Kids Stories | Tiny Sparks</t>
        </is>
      </c>
      <c r="J618" s="15" t="inlineStr">
        <is>
          <t>3–5</t>
        </is>
      </c>
      <c r="K618" s="15" t="inlineStr">
        <is>
          <t>Long 16:9 + Short teaser</t>
        </is>
      </c>
      <c r="L618" s="15" t="inlineStr">
        <is>
          <t>3–5 min (Short: 50 s)</t>
        </is>
      </c>
      <c r="M618" s="15" t="inlineStr">
        <is>
          <t>Mila (lead) · Mila, Leo, Bobo + narrator</t>
        </is>
      </c>
      <c r="N618" s="15" t="inlineStr">
        <is>
          <t>Life skill: Take Care of Plants</t>
        </is>
      </c>
      <c r="O618" s="15" t="inlineStr">
        <is>
          <t>Yes</t>
        </is>
      </c>
      <c r="P618" s="15" t="inlineStr">
        <is>
          <t>P3</t>
        </is>
      </c>
      <c r="Q618" s="15" t="inlineStr">
        <is>
          <t>Idea</t>
        </is>
      </c>
      <c r="R618" s="48">
        <f>INDEX('Start Here'!$B$10:$B$16,WEEKDAY(C618,2))</f>
        <v/>
      </c>
      <c r="S618" s="48">
        <f>MOD(R618+'Start Here'!$B$6/24,1)</f>
        <v/>
      </c>
      <c r="T618" s="15" t="n"/>
      <c r="U618" s="15" t="n"/>
      <c r="V618" s="15" t="n"/>
      <c r="W618" s="15" t="n"/>
      <c r="X618" s="20" t="n"/>
      <c r="Y618" s="15" t="n"/>
    </row>
    <row r="619">
      <c r="A619" s="15" t="n">
        <v>618</v>
      </c>
      <c r="B619" s="16">
        <f>INT((A619-1)/7)+1</f>
        <v/>
      </c>
      <c r="C619" s="47">
        <f>'Start Here'!$B$5+A619-1</f>
        <v/>
      </c>
      <c r="D619" s="16">
        <f>TEXT(C619,"ddd")</f>
        <v/>
      </c>
      <c r="E619" s="15" t="inlineStr">
        <is>
          <t>Math Tuesday</t>
        </is>
      </c>
      <c r="F619" s="21" t="inlineStr">
        <is>
          <t>🔢 Numbers &amp; Math</t>
        </is>
      </c>
      <c r="G619" s="15" t="n">
        <v>89</v>
      </c>
      <c r="H619" s="15" t="inlineStr">
        <is>
          <t>Multiplication by 10</t>
        </is>
      </c>
      <c r="I619" s="15" t="inlineStr">
        <is>
          <t>Multiplication by 10 🔢 | Learn Math for Kids | Tiny Sparks</t>
        </is>
      </c>
      <c r="J619" s="15" t="inlineStr">
        <is>
          <t>6–8</t>
        </is>
      </c>
      <c r="K619" s="15" t="inlineStr">
        <is>
          <t>Short 9:16</t>
        </is>
      </c>
      <c r="L619" s="15" t="inlineStr">
        <is>
          <t>45–60 s</t>
        </is>
      </c>
      <c r="M619" s="15" t="inlineStr">
        <is>
          <t>Bobo + Mila (counting fingers)</t>
        </is>
      </c>
      <c r="N619" s="15" t="inlineStr">
        <is>
          <t>Math: Multiplication by 10</t>
        </is>
      </c>
      <c r="O619" s="15" t="inlineStr">
        <is>
          <t>Yes</t>
        </is>
      </c>
      <c r="P619" s="15" t="inlineStr">
        <is>
          <t>P3</t>
        </is>
      </c>
      <c r="Q619" s="15" t="inlineStr">
        <is>
          <t>Idea</t>
        </is>
      </c>
      <c r="R619" s="48">
        <f>INDEX('Start Here'!$B$10:$B$16,WEEKDAY(C619,2))</f>
        <v/>
      </c>
      <c r="S619" s="48">
        <f>MOD(R619+'Start Here'!$B$6/24,1)</f>
        <v/>
      </c>
      <c r="T619" s="15" t="n"/>
      <c r="U619" s="15" t="n"/>
      <c r="V619" s="15" t="n"/>
      <c r="W619" s="15" t="n"/>
      <c r="X619" s="20" t="n"/>
      <c r="Y619" s="15" t="n"/>
    </row>
    <row r="620">
      <c r="A620" s="15" t="n">
        <v>619</v>
      </c>
      <c r="B620" s="16">
        <f>INT((A620-1)/7)+1</f>
        <v/>
      </c>
      <c r="C620" s="47">
        <f>'Start Here'!$B$5+A620-1</f>
        <v/>
      </c>
      <c r="D620" s="16">
        <f>TEXT(C620,"ddd")</f>
        <v/>
      </c>
      <c r="E620" s="15" t="inlineStr">
        <is>
          <t>Word Wednesday</t>
        </is>
      </c>
      <c r="F620" s="22" t="inlineStr">
        <is>
          <t>🔤 English/French Words</t>
        </is>
      </c>
      <c r="G620" s="15" t="n">
        <v>89</v>
      </c>
      <c r="H620" s="15" t="inlineStr">
        <is>
          <t>French Animal Quiz</t>
        </is>
      </c>
      <c r="I620" s="15" t="inlineStr">
        <is>
          <t>French Animal Quiz 🔤 | Kids Vocabulary | Tiny Sparks</t>
        </is>
      </c>
      <c r="J620" s="15" t="inlineStr">
        <is>
          <t>6–8</t>
        </is>
      </c>
      <c r="K620" s="15" t="inlineStr">
        <is>
          <t>Long 16:9</t>
        </is>
      </c>
      <c r="L620" s="15" t="inlineStr">
        <is>
          <t>4–8 min</t>
        </is>
      </c>
      <c r="M620" s="15" t="inlineStr">
        <is>
          <t>Mila + French narrator</t>
        </is>
      </c>
      <c r="N620" s="15" t="inlineStr">
        <is>
          <t>Vocabulary EN→FR: French Animal Quiz</t>
        </is>
      </c>
      <c r="O620" s="15" t="inlineStr">
        <is>
          <t>Yes</t>
        </is>
      </c>
      <c r="P620" s="15" t="inlineStr">
        <is>
          <t>P3</t>
        </is>
      </c>
      <c r="Q620" s="15" t="inlineStr">
        <is>
          <t>Idea</t>
        </is>
      </c>
      <c r="R620" s="48">
        <f>INDEX('Start Here'!$B$10:$B$16,WEEKDAY(C620,2))</f>
        <v/>
      </c>
      <c r="S620" s="48">
        <f>MOD(R620+'Start Here'!$B$6/24,1)</f>
        <v/>
      </c>
      <c r="T620" s="15" t="n"/>
      <c r="U620" s="15" t="n"/>
      <c r="V620" s="15" t="n"/>
      <c r="W620" s="15" t="n"/>
      <c r="X620" s="20" t="n"/>
      <c r="Y620" s="15" t="n"/>
    </row>
    <row r="621">
      <c r="A621" s="15" t="n">
        <v>620</v>
      </c>
      <c r="B621" s="16">
        <f>INT((A621-1)/7)+1</f>
        <v/>
      </c>
      <c r="C621" s="47">
        <f>'Start Here'!$B$5+A621-1</f>
        <v/>
      </c>
      <c r="D621" s="16">
        <f>TEXT(C621,"ddd")</f>
        <v/>
      </c>
      <c r="E621" s="15" t="inlineStr">
        <is>
          <t>Animal Thursday</t>
        </is>
      </c>
      <c r="F621" s="23" t="inlineStr">
        <is>
          <t>🦁 Animal Stories</t>
        </is>
      </c>
      <c r="G621" s="15" t="n">
        <v>89</v>
      </c>
      <c r="H621" s="15" t="inlineStr">
        <is>
          <t>The Moonlight Forest</t>
        </is>
      </c>
      <c r="I621" s="15" t="inlineStr">
        <is>
          <t>The Moonlight Forest 🦁 | Animal Stories for Kids | Tiny Sparks</t>
        </is>
      </c>
      <c r="J621" s="15" t="inlineStr">
        <is>
          <t>3–5</t>
        </is>
      </c>
      <c r="K621" s="15" t="inlineStr">
        <is>
          <t>Long 16:9 + Short teaser</t>
        </is>
      </c>
      <c r="L621" s="15" t="inlineStr">
        <is>
          <t>3–5 min (Short: 50 s)</t>
        </is>
      </c>
      <c r="M621" s="15" t="inlineStr">
        <is>
          <t>guest animal(s) + Bobo</t>
        </is>
      </c>
      <c r="N621" s="15" t="inlineStr">
        <is>
          <t>Story + 3 true animal facts; value: caring for the planet</t>
        </is>
      </c>
      <c r="O621" s="15" t="inlineStr">
        <is>
          <t>Yes</t>
        </is>
      </c>
      <c r="P621" s="15" t="inlineStr">
        <is>
          <t>P3</t>
        </is>
      </c>
      <c r="Q621" s="15" t="inlineStr">
        <is>
          <t>Idea</t>
        </is>
      </c>
      <c r="R621" s="48">
        <f>INDEX('Start Here'!$B$10:$B$16,WEEKDAY(C621,2))</f>
        <v/>
      </c>
      <c r="S621" s="48">
        <f>MOD(R621+'Start Here'!$B$6/24,1)</f>
        <v/>
      </c>
      <c r="T621" s="15" t="n"/>
      <c r="U621" s="15" t="n"/>
      <c r="V621" s="15" t="n"/>
      <c r="W621" s="15" t="n"/>
      <c r="X621" s="20" t="n"/>
      <c r="Y621" s="15" t="n"/>
    </row>
    <row r="622">
      <c r="A622" s="15" t="n">
        <v>621</v>
      </c>
      <c r="B622" s="16">
        <f>INT((A622-1)/7)+1</f>
        <v/>
      </c>
      <c r="C622" s="47">
        <f>'Start Here'!$B$5+A622-1</f>
        <v/>
      </c>
      <c r="D622" s="16">
        <f>TEXT(C622,"ddd")</f>
        <v/>
      </c>
      <c r="E622" s="15" t="inlineStr">
        <is>
          <t>Science Friday</t>
        </is>
      </c>
      <c r="F622" s="24" t="inlineStr">
        <is>
          <t>🚀 Science for Kids</t>
        </is>
      </c>
      <c r="G622" s="15" t="n">
        <v>89</v>
      </c>
      <c r="H622" s="15" t="inlineStr">
        <is>
          <t>What Makes Things Float?</t>
        </is>
      </c>
      <c r="I622" s="15" t="inlineStr">
        <is>
          <t>What Makes Things Float? 🚀 | Science for Kids | Tiny Sparks</t>
        </is>
      </c>
      <c r="J622" s="15" t="inlineStr">
        <is>
          <t>3–5</t>
        </is>
      </c>
      <c r="K622" s="15" t="inlineStr">
        <is>
          <t>Short 9:16</t>
        </is>
      </c>
      <c r="L622" s="15" t="inlineStr">
        <is>
          <t>45–60 s</t>
        </is>
      </c>
      <c r="M622" s="15" t="inlineStr">
        <is>
          <t>Prof. Hoot + Leo (wrong guess) + Mila</t>
        </is>
      </c>
      <c r="N622" s="15" t="inlineStr">
        <is>
          <t>Answer simply: What Makes Things Float?</t>
        </is>
      </c>
      <c r="O622" s="15" t="inlineStr">
        <is>
          <t>Yes</t>
        </is>
      </c>
      <c r="P622" s="15" t="inlineStr">
        <is>
          <t>P3</t>
        </is>
      </c>
      <c r="Q622" s="15" t="inlineStr">
        <is>
          <t>Idea</t>
        </is>
      </c>
      <c r="R622" s="48">
        <f>INDEX('Start Here'!$B$10:$B$16,WEEKDAY(C622,2))</f>
        <v/>
      </c>
      <c r="S622" s="48">
        <f>MOD(R622+'Start Here'!$B$6/24,1)</f>
        <v/>
      </c>
      <c r="T622" s="15" t="n"/>
      <c r="U622" s="15" t="n"/>
      <c r="V622" s="15" t="n"/>
      <c r="W622" s="15" t="n"/>
      <c r="X622" s="20" t="n"/>
      <c r="Y622" s="15" t="n"/>
    </row>
    <row r="623">
      <c r="A623" s="15" t="n">
        <v>622</v>
      </c>
      <c r="B623" s="16">
        <f>INT((A623-1)/7)+1</f>
        <v/>
      </c>
      <c r="C623" s="47">
        <f>'Start Here'!$B$5+A623-1</f>
        <v/>
      </c>
      <c r="D623" s="16">
        <f>TEXT(C623,"ddd")</f>
        <v/>
      </c>
      <c r="E623" s="15" t="inlineStr">
        <is>
          <t>Puzzle Saturday</t>
        </is>
      </c>
      <c r="F623" s="25" t="inlineStr">
        <is>
          <t>🧩 Puzzles &amp; Problem-Solving</t>
        </is>
      </c>
      <c r="G623" s="15" t="n">
        <v>89</v>
      </c>
      <c r="H623" s="15" t="inlineStr">
        <is>
          <t>Who Lost the Toy?</t>
        </is>
      </c>
      <c r="I623" s="15" t="inlineStr">
        <is>
          <t>Who Lost the Toy? 🧩 | Brain Games for Kids | Tiny Sparks</t>
        </is>
      </c>
      <c r="J623" s="15" t="inlineStr">
        <is>
          <t>3–5</t>
        </is>
      </c>
      <c r="K623" s="15" t="inlineStr">
        <is>
          <t>Short 9:16</t>
        </is>
      </c>
      <c r="L623" s="15" t="inlineStr">
        <is>
          <t>45–60 s</t>
        </is>
      </c>
      <c r="M623" s="15" t="inlineStr">
        <is>
          <t>Prof. Hoot + Leo + score strip</t>
        </is>
      </c>
      <c r="N623" s="15" t="inlineStr">
        <is>
          <t>Thinking skill: logic</t>
        </is>
      </c>
      <c r="O623" s="15" t="inlineStr">
        <is>
          <t>Yes</t>
        </is>
      </c>
      <c r="P623" s="15" t="inlineStr">
        <is>
          <t>P3</t>
        </is>
      </c>
      <c r="Q623" s="15" t="inlineStr">
        <is>
          <t>Idea</t>
        </is>
      </c>
      <c r="R623" s="48">
        <f>INDEX('Start Here'!$B$10:$B$16,WEEKDAY(C623,2))</f>
        <v/>
      </c>
      <c r="S623" s="48">
        <f>MOD(R623+'Start Here'!$B$6/24,1)</f>
        <v/>
      </c>
      <c r="T623" s="15" t="n"/>
      <c r="U623" s="15" t="n"/>
      <c r="V623" s="15" t="n"/>
      <c r="W623" s="15" t="n"/>
      <c r="X623" s="20" t="n"/>
      <c r="Y623" s="15" t="n"/>
    </row>
    <row r="624">
      <c r="A624" s="15" t="n">
        <v>623</v>
      </c>
      <c r="B624" s="16">
        <f>INT((A624-1)/7)+1</f>
        <v/>
      </c>
      <c r="C624" s="47">
        <f>'Start Here'!$B$5+A624-1</f>
        <v/>
      </c>
      <c r="D624" s="16">
        <f>TEXT(C624,"ddd")</f>
        <v/>
      </c>
      <c r="E624" s="15" t="inlineStr">
        <is>
          <t>Song Sunday</t>
        </is>
      </c>
      <c r="F624" s="26" t="inlineStr">
        <is>
          <t>🎵 Educational Songs</t>
        </is>
      </c>
      <c r="G624" s="15" t="n">
        <v>89</v>
      </c>
      <c r="H624" s="15" t="inlineStr">
        <is>
          <t>Animal Matching Song</t>
        </is>
      </c>
      <c r="I624" s="15" t="inlineStr">
        <is>
          <t>Animal Matching Song 🎵 | Kids Songs | Tiny Sparks</t>
        </is>
      </c>
      <c r="J624" s="15" t="inlineStr">
        <is>
          <t>3–5</t>
        </is>
      </c>
      <c r="K624" s="15" t="inlineStr">
        <is>
          <t>Long 16:9 + Short cut</t>
        </is>
      </c>
      <c r="L624" s="15" t="inlineStr">
        <is>
          <t>2–3 min (Short: 45 s chorus)</t>
        </is>
      </c>
      <c r="M624" s="15" t="inlineStr">
        <is>
          <t>Mila sings, all dance</t>
        </is>
      </c>
      <c r="N624" s="15" t="inlineStr">
        <is>
          <t>Sing &amp; learn: Animal Matching</t>
        </is>
      </c>
      <c r="O624" s="15" t="inlineStr">
        <is>
          <t>Yes</t>
        </is>
      </c>
      <c r="P624" s="15" t="inlineStr">
        <is>
          <t>P3</t>
        </is>
      </c>
      <c r="Q624" s="15" t="inlineStr">
        <is>
          <t>Idea</t>
        </is>
      </c>
      <c r="R624" s="48">
        <f>INDEX('Start Here'!$B$10:$B$16,WEEKDAY(C624,2))</f>
        <v/>
      </c>
      <c r="S624" s="48">
        <f>MOD(R624+'Start Here'!$B$6/24,1)</f>
        <v/>
      </c>
      <c r="T624" s="15" t="n"/>
      <c r="U624" s="15" t="n"/>
      <c r="V624" s="15" t="n"/>
      <c r="W624" s="15" t="n"/>
      <c r="X624" s="20" t="n"/>
      <c r="Y624" s="15" t="n"/>
    </row>
    <row r="625">
      <c r="A625" s="15" t="n">
        <v>624</v>
      </c>
      <c r="B625" s="16">
        <f>INT((A625-1)/7)+1</f>
        <v/>
      </c>
      <c r="C625" s="47">
        <f>'Start Here'!$B$5+A625-1</f>
        <v/>
      </c>
      <c r="D625" s="16">
        <f>TEXT(C625,"ddd")</f>
        <v/>
      </c>
      <c r="E625" s="15" t="inlineStr">
        <is>
          <t>Story Monday</t>
        </is>
      </c>
      <c r="F625" s="27" t="inlineStr">
        <is>
          <t>📚 Moral Stories</t>
        </is>
      </c>
      <c r="G625" s="15" t="n">
        <v>45</v>
      </c>
      <c r="H625" s="15" t="inlineStr">
        <is>
          <t>The Bird Who Planted a Tree</t>
        </is>
      </c>
      <c r="I625" s="15" t="inlineStr">
        <is>
          <t>The Bird Who Planted a Tree 📚 | Moral Stories for Kids | Tiny Sparks</t>
        </is>
      </c>
      <c r="J625" s="15" t="inlineStr">
        <is>
          <t>3–5</t>
        </is>
      </c>
      <c r="K625" s="15" t="inlineStr">
        <is>
          <t>Long 16:9 + Short teaser</t>
        </is>
      </c>
      <c r="L625" s="15" t="inlineStr">
        <is>
          <t>3–5 min (Short: 50 s)</t>
        </is>
      </c>
      <c r="M625" s="15" t="inlineStr">
        <is>
          <t>narrator + guest animals / Mila &amp; Leo</t>
        </is>
      </c>
      <c r="N625" s="15" t="inlineStr">
        <is>
          <t>Value: caring for the planet</t>
        </is>
      </c>
      <c r="O625" s="15" t="inlineStr">
        <is>
          <t>Build first: bird</t>
        </is>
      </c>
      <c r="P625" s="15" t="inlineStr">
        <is>
          <t>P3</t>
        </is>
      </c>
      <c r="Q625" s="15" t="inlineStr">
        <is>
          <t>Idea</t>
        </is>
      </c>
      <c r="R625" s="48">
        <f>INDEX('Start Here'!$B$10:$B$16,WEEKDAY(C625,2))</f>
        <v/>
      </c>
      <c r="S625" s="48">
        <f>MOD(R625+'Start Here'!$B$6/24,1)</f>
        <v/>
      </c>
      <c r="T625" s="15" t="n"/>
      <c r="U625" s="15" t="n"/>
      <c r="V625" s="15" t="n"/>
      <c r="W625" s="15" t="n"/>
      <c r="X625" s="20" t="n"/>
      <c r="Y625" s="15" t="n"/>
    </row>
    <row r="626">
      <c r="A626" s="15" t="n">
        <v>625</v>
      </c>
      <c r="B626" s="16">
        <f>INT((A626-1)/7)+1</f>
        <v/>
      </c>
      <c r="C626" s="47">
        <f>'Start Here'!$B$5+A626-1</f>
        <v/>
      </c>
      <c r="D626" s="16">
        <f>TEXT(C626,"ddd")</f>
        <v/>
      </c>
      <c r="E626" s="15" t="inlineStr">
        <is>
          <t>Math Tuesday</t>
        </is>
      </c>
      <c r="F626" s="21" t="inlineStr">
        <is>
          <t>🔢 Numbers &amp; Math</t>
        </is>
      </c>
      <c r="G626" s="15" t="n">
        <v>90</v>
      </c>
      <c r="H626" s="15" t="inlineStr">
        <is>
          <t>Division for Beginners</t>
        </is>
      </c>
      <c r="I626" s="15" t="inlineStr">
        <is>
          <t>Division for Beginners 🔢 | Learn Math for Kids | Tiny Sparks</t>
        </is>
      </c>
      <c r="J626" s="15" t="inlineStr">
        <is>
          <t>6–8</t>
        </is>
      </c>
      <c r="K626" s="15" t="inlineStr">
        <is>
          <t>Short 9:16</t>
        </is>
      </c>
      <c r="L626" s="15" t="inlineStr">
        <is>
          <t>45–60 s</t>
        </is>
      </c>
      <c r="M626" s="15" t="inlineStr">
        <is>
          <t>Bobo + Mila (counting fingers)</t>
        </is>
      </c>
      <c r="N626" s="15" t="inlineStr">
        <is>
          <t>Math: Division for Beginners</t>
        </is>
      </c>
      <c r="O626" s="15" t="inlineStr">
        <is>
          <t>Yes</t>
        </is>
      </c>
      <c r="P626" s="15" t="inlineStr">
        <is>
          <t>P3</t>
        </is>
      </c>
      <c r="Q626" s="15" t="inlineStr">
        <is>
          <t>Idea</t>
        </is>
      </c>
      <c r="R626" s="48">
        <f>INDEX('Start Here'!$B$10:$B$16,WEEKDAY(C626,2))</f>
        <v/>
      </c>
      <c r="S626" s="48">
        <f>MOD(R626+'Start Here'!$B$6/24,1)</f>
        <v/>
      </c>
      <c r="T626" s="15" t="n"/>
      <c r="U626" s="15" t="n"/>
      <c r="V626" s="15" t="n"/>
      <c r="W626" s="15" t="n"/>
      <c r="X626" s="20" t="n"/>
      <c r="Y626" s="15" t="n"/>
    </row>
    <row r="627">
      <c r="A627" s="15" t="n">
        <v>626</v>
      </c>
      <c r="B627" s="16">
        <f>INT((A627-1)/7)+1</f>
        <v/>
      </c>
      <c r="C627" s="47">
        <f>'Start Here'!$B$5+A627-1</f>
        <v/>
      </c>
      <c r="D627" s="16">
        <f>TEXT(C627,"ddd")</f>
        <v/>
      </c>
      <c r="E627" s="15" t="inlineStr">
        <is>
          <t>Word Wednesday</t>
        </is>
      </c>
      <c r="F627" s="22" t="inlineStr">
        <is>
          <t>🔤 English/French Words</t>
        </is>
      </c>
      <c r="G627" s="15" t="n">
        <v>90</v>
      </c>
      <c r="H627" s="15" t="inlineStr">
        <is>
          <t>English Food Quiz</t>
        </is>
      </c>
      <c r="I627" s="15" t="inlineStr">
        <is>
          <t>English Food Quiz 🔤 | Kids Vocabulary | Tiny Sparks</t>
        </is>
      </c>
      <c r="J627" s="15" t="inlineStr">
        <is>
          <t>6–8</t>
        </is>
      </c>
      <c r="K627" s="15" t="inlineStr">
        <is>
          <t>Long 16:9</t>
        </is>
      </c>
      <c r="L627" s="15" t="inlineStr">
        <is>
          <t>4–8 min</t>
        </is>
      </c>
      <c r="M627" s="15" t="inlineStr">
        <is>
          <t>Mila + French narrator</t>
        </is>
      </c>
      <c r="N627" s="15" t="inlineStr">
        <is>
          <t>Vocabulary EN→FR: English Food Quiz</t>
        </is>
      </c>
      <c r="O627" s="15" t="inlineStr">
        <is>
          <t>Yes</t>
        </is>
      </c>
      <c r="P627" s="15" t="inlineStr">
        <is>
          <t>P3</t>
        </is>
      </c>
      <c r="Q627" s="15" t="inlineStr">
        <is>
          <t>Idea</t>
        </is>
      </c>
      <c r="R627" s="48">
        <f>INDEX('Start Here'!$B$10:$B$16,WEEKDAY(C627,2))</f>
        <v/>
      </c>
      <c r="S627" s="48">
        <f>MOD(R627+'Start Here'!$B$6/24,1)</f>
        <v/>
      </c>
      <c r="T627" s="15" t="n"/>
      <c r="U627" s="15" t="n"/>
      <c r="V627" s="15" t="n"/>
      <c r="W627" s="15" t="n"/>
      <c r="X627" s="20" t="n"/>
      <c r="Y627" s="15" t="n"/>
    </row>
    <row r="628">
      <c r="A628" s="15" t="n">
        <v>627</v>
      </c>
      <c r="B628" s="16">
        <f>INT((A628-1)/7)+1</f>
        <v/>
      </c>
      <c r="C628" s="47">
        <f>'Start Here'!$B$5+A628-1</f>
        <v/>
      </c>
      <c r="D628" s="16">
        <f>TEXT(C628,"ddd")</f>
        <v/>
      </c>
      <c r="E628" s="15" t="inlineStr">
        <is>
          <t>Animal Thursday</t>
        </is>
      </c>
      <c r="F628" s="23" t="inlineStr">
        <is>
          <t>🦁 Animal Stories</t>
        </is>
      </c>
      <c r="G628" s="15" t="n">
        <v>90</v>
      </c>
      <c r="H628" s="15" t="inlineStr">
        <is>
          <t>The Magical Animal Train</t>
        </is>
      </c>
      <c r="I628" s="15" t="inlineStr">
        <is>
          <t>The Magical Animal Train 🦁 | Animal Stories for Kids | Tiny Sparks</t>
        </is>
      </c>
      <c r="J628" s="15" t="inlineStr">
        <is>
          <t>3–5</t>
        </is>
      </c>
      <c r="K628" s="15" t="inlineStr">
        <is>
          <t>Long 16:9 + Short teaser</t>
        </is>
      </c>
      <c r="L628" s="15" t="inlineStr">
        <is>
          <t>3–5 min (Short: 50 s)</t>
        </is>
      </c>
      <c r="M628" s="15" t="inlineStr">
        <is>
          <t>guest animal(s) + Bobo</t>
        </is>
      </c>
      <c r="N628" s="15" t="inlineStr">
        <is>
          <t>Story + 3 true animal facts; value: friendship</t>
        </is>
      </c>
      <c r="O628" s="15" t="inlineStr">
        <is>
          <t>Yes</t>
        </is>
      </c>
      <c r="P628" s="15" t="inlineStr">
        <is>
          <t>P3</t>
        </is>
      </c>
      <c r="Q628" s="15" t="inlineStr">
        <is>
          <t>Idea</t>
        </is>
      </c>
      <c r="R628" s="48">
        <f>INDEX('Start Here'!$B$10:$B$16,WEEKDAY(C628,2))</f>
        <v/>
      </c>
      <c r="S628" s="48">
        <f>MOD(R628+'Start Here'!$B$6/24,1)</f>
        <v/>
      </c>
      <c r="T628" s="15" t="n"/>
      <c r="U628" s="15" t="n"/>
      <c r="V628" s="15" t="n"/>
      <c r="W628" s="15" t="n"/>
      <c r="X628" s="20" t="n"/>
      <c r="Y628" s="15" t="n"/>
    </row>
    <row r="629">
      <c r="A629" s="15" t="n">
        <v>628</v>
      </c>
      <c r="B629" s="16">
        <f>INT((A629-1)/7)+1</f>
        <v/>
      </c>
      <c r="C629" s="47">
        <f>'Start Here'!$B$5+A629-1</f>
        <v/>
      </c>
      <c r="D629" s="16">
        <f>TEXT(C629,"ddd")</f>
        <v/>
      </c>
      <c r="E629" s="15" t="inlineStr">
        <is>
          <t>Science Friday</t>
        </is>
      </c>
      <c r="F629" s="24" t="inlineStr">
        <is>
          <t>🚀 Science for Kids</t>
        </is>
      </c>
      <c r="G629" s="15" t="n">
        <v>90</v>
      </c>
      <c r="H629" s="15" t="inlineStr">
        <is>
          <t>What Makes Things Sink?</t>
        </is>
      </c>
      <c r="I629" s="15" t="inlineStr">
        <is>
          <t>What Makes Things Sink? 🚀 | Science for Kids | Tiny Sparks</t>
        </is>
      </c>
      <c r="J629" s="15" t="inlineStr">
        <is>
          <t>3–5</t>
        </is>
      </c>
      <c r="K629" s="15" t="inlineStr">
        <is>
          <t>Short 9:16</t>
        </is>
      </c>
      <c r="L629" s="15" t="inlineStr">
        <is>
          <t>45–60 s</t>
        </is>
      </c>
      <c r="M629" s="15" t="inlineStr">
        <is>
          <t>Prof. Hoot + Leo (wrong guess) + Mila</t>
        </is>
      </c>
      <c r="N629" s="15" t="inlineStr">
        <is>
          <t>Answer simply: What Makes Things Sink?</t>
        </is>
      </c>
      <c r="O629" s="15" t="inlineStr">
        <is>
          <t>Yes</t>
        </is>
      </c>
      <c r="P629" s="15" t="inlineStr">
        <is>
          <t>P3</t>
        </is>
      </c>
      <c r="Q629" s="15" t="inlineStr">
        <is>
          <t>Idea</t>
        </is>
      </c>
      <c r="R629" s="48">
        <f>INDEX('Start Here'!$B$10:$B$16,WEEKDAY(C629,2))</f>
        <v/>
      </c>
      <c r="S629" s="48">
        <f>MOD(R629+'Start Here'!$B$6/24,1)</f>
        <v/>
      </c>
      <c r="T629" s="15" t="n"/>
      <c r="U629" s="15" t="n"/>
      <c r="V629" s="15" t="n"/>
      <c r="W629" s="15" t="n"/>
      <c r="X629" s="20" t="n"/>
      <c r="Y629" s="15" t="n"/>
    </row>
    <row r="630">
      <c r="A630" s="15" t="n">
        <v>629</v>
      </c>
      <c r="B630" s="16">
        <f>INT((A630-1)/7)+1</f>
        <v/>
      </c>
      <c r="C630" s="47">
        <f>'Start Here'!$B$5+A630-1</f>
        <v/>
      </c>
      <c r="D630" s="16">
        <f>TEXT(C630,"ddd")</f>
        <v/>
      </c>
      <c r="E630" s="15" t="inlineStr">
        <is>
          <t>Puzzle Saturday</t>
        </is>
      </c>
      <c r="F630" s="25" t="inlineStr">
        <is>
          <t>🧩 Puzzles &amp; Problem-Solving</t>
        </is>
      </c>
      <c r="G630" s="15" t="n">
        <v>90</v>
      </c>
      <c r="H630" s="15" t="inlineStr">
        <is>
          <t>Who Left the Footprints?</t>
        </is>
      </c>
      <c r="I630" s="15" t="inlineStr">
        <is>
          <t>Who Left the Footprints? 🧩 | Brain Games for Kids | Tiny Sparks</t>
        </is>
      </c>
      <c r="J630" s="15" t="inlineStr">
        <is>
          <t>3–5</t>
        </is>
      </c>
      <c r="K630" s="15" t="inlineStr">
        <is>
          <t>Short 9:16</t>
        </is>
      </c>
      <c r="L630" s="15" t="inlineStr">
        <is>
          <t>45–60 s</t>
        </is>
      </c>
      <c r="M630" s="15" t="inlineStr">
        <is>
          <t>Prof. Hoot + Leo + score strip</t>
        </is>
      </c>
      <c r="N630" s="15" t="inlineStr">
        <is>
          <t>Thinking skill: logic</t>
        </is>
      </c>
      <c r="O630" s="15" t="inlineStr">
        <is>
          <t>Yes</t>
        </is>
      </c>
      <c r="P630" s="15" t="inlineStr">
        <is>
          <t>P3</t>
        </is>
      </c>
      <c r="Q630" s="15" t="inlineStr">
        <is>
          <t>Idea</t>
        </is>
      </c>
      <c r="R630" s="48">
        <f>INDEX('Start Here'!$B$10:$B$16,WEEKDAY(C630,2))</f>
        <v/>
      </c>
      <c r="S630" s="48">
        <f>MOD(R630+'Start Here'!$B$6/24,1)</f>
        <v/>
      </c>
      <c r="T630" s="15" t="n"/>
      <c r="U630" s="15" t="n"/>
      <c r="V630" s="15" t="n"/>
      <c r="W630" s="15" t="n"/>
      <c r="X630" s="20" t="n"/>
      <c r="Y630" s="15" t="n"/>
    </row>
    <row r="631">
      <c r="A631" s="15" t="n">
        <v>630</v>
      </c>
      <c r="B631" s="16">
        <f>INT((A631-1)/7)+1</f>
        <v/>
      </c>
      <c r="C631" s="47">
        <f>'Start Here'!$B$5+A631-1</f>
        <v/>
      </c>
      <c r="D631" s="16">
        <f>TEXT(C631,"ddd")</f>
        <v/>
      </c>
      <c r="E631" s="15" t="inlineStr">
        <is>
          <t>Song Sunday</t>
        </is>
      </c>
      <c r="F631" s="26" t="inlineStr">
        <is>
          <t>🎵 Educational Songs</t>
        </is>
      </c>
      <c r="G631" s="15" t="n">
        <v>90</v>
      </c>
      <c r="H631" s="15" t="inlineStr">
        <is>
          <t>Treasure Hunt Song</t>
        </is>
      </c>
      <c r="I631" s="15" t="inlineStr">
        <is>
          <t>Treasure Hunt Song 🎵 | Kids Songs | Tiny Sparks</t>
        </is>
      </c>
      <c r="J631" s="15" t="inlineStr">
        <is>
          <t>3–5</t>
        </is>
      </c>
      <c r="K631" s="15" t="inlineStr">
        <is>
          <t>Long 16:9 + Short cut</t>
        </is>
      </c>
      <c r="L631" s="15" t="inlineStr">
        <is>
          <t>2–3 min (Short: 45 s chorus)</t>
        </is>
      </c>
      <c r="M631" s="15" t="inlineStr">
        <is>
          <t>Mila sings, all dance</t>
        </is>
      </c>
      <c r="N631" s="15" t="inlineStr">
        <is>
          <t>Sing &amp; learn: Treasure Hunt</t>
        </is>
      </c>
      <c r="O631" s="15" t="inlineStr">
        <is>
          <t>Yes</t>
        </is>
      </c>
      <c r="P631" s="15" t="inlineStr">
        <is>
          <t>P3</t>
        </is>
      </c>
      <c r="Q631" s="15" t="inlineStr">
        <is>
          <t>Idea</t>
        </is>
      </c>
      <c r="R631" s="48">
        <f>INDEX('Start Here'!$B$10:$B$16,WEEKDAY(C631,2))</f>
        <v/>
      </c>
      <c r="S631" s="48">
        <f>MOD(R631+'Start Here'!$B$6/24,1)</f>
        <v/>
      </c>
      <c r="T631" s="15" t="n"/>
      <c r="U631" s="15" t="n"/>
      <c r="V631" s="15" t="n"/>
      <c r="W631" s="15" t="n"/>
      <c r="X631" s="20" t="n"/>
      <c r="Y631" s="15" t="n"/>
    </row>
    <row r="632">
      <c r="A632" s="15" t="n">
        <v>631</v>
      </c>
      <c r="B632" s="16">
        <f>INT((A632-1)/7)+1</f>
        <v/>
      </c>
      <c r="C632" s="47">
        <f>'Start Here'!$B$5+A632-1</f>
        <v/>
      </c>
      <c r="D632" s="16">
        <f>TEXT(C632,"ddd")</f>
        <v/>
      </c>
      <c r="E632" s="15" t="inlineStr">
        <is>
          <t>Story Monday</t>
        </is>
      </c>
      <c r="F632" s="18" t="inlineStr">
        <is>
          <t>🧠 Educational Stories</t>
        </is>
      </c>
      <c r="G632" s="15" t="n">
        <v>46</v>
      </c>
      <c r="H632" s="15" t="inlineStr">
        <is>
          <t>The Day Tommy Became a Team Leader</t>
        </is>
      </c>
      <c r="I632" s="15" t="inlineStr">
        <is>
          <t>The Day Leo Became a Team Leader 🧠 | Kids Stories | Tiny Sparks</t>
        </is>
      </c>
      <c r="J632" s="15" t="inlineStr">
        <is>
          <t>3–5</t>
        </is>
      </c>
      <c r="K632" s="15" t="inlineStr">
        <is>
          <t>Long 16:9 + Short teaser</t>
        </is>
      </c>
      <c r="L632" s="15" t="inlineStr">
        <is>
          <t>3–5 min (Short: 50 s)</t>
        </is>
      </c>
      <c r="M632" s="15" t="inlineStr">
        <is>
          <t>Leo (lead) · Mila, Leo, Bobo + narrator</t>
        </is>
      </c>
      <c r="N632" s="15" t="inlineStr">
        <is>
          <t>Curiosity + problem solving</t>
        </is>
      </c>
      <c r="O632" s="15" t="inlineStr">
        <is>
          <t>Yes</t>
        </is>
      </c>
      <c r="P632" s="15" t="inlineStr">
        <is>
          <t>P3</t>
        </is>
      </c>
      <c r="Q632" s="15" t="inlineStr">
        <is>
          <t>Idea</t>
        </is>
      </c>
      <c r="R632" s="48">
        <f>INDEX('Start Here'!$B$10:$B$16,WEEKDAY(C632,2))</f>
        <v/>
      </c>
      <c r="S632" s="48">
        <f>MOD(R632+'Start Here'!$B$6/24,1)</f>
        <v/>
      </c>
      <c r="T632" s="15" t="n"/>
      <c r="U632" s="15" t="n"/>
      <c r="V632" s="15" t="n"/>
      <c r="W632" s="15" t="n"/>
      <c r="X632" s="20" t="n"/>
      <c r="Y632" s="15" t="n"/>
    </row>
    <row r="633">
      <c r="A633" s="15" t="n">
        <v>632</v>
      </c>
      <c r="B633" s="16">
        <f>INT((A633-1)/7)+1</f>
        <v/>
      </c>
      <c r="C633" s="47">
        <f>'Start Here'!$B$5+A633-1</f>
        <v/>
      </c>
      <c r="D633" s="16">
        <f>TEXT(C633,"ddd")</f>
        <v/>
      </c>
      <c r="E633" s="15" t="inlineStr">
        <is>
          <t>Math Tuesday</t>
        </is>
      </c>
      <c r="F633" s="21" t="inlineStr">
        <is>
          <t>🔢 Numbers &amp; Math</t>
        </is>
      </c>
      <c r="G633" s="15" t="n">
        <v>91</v>
      </c>
      <c r="H633" s="15" t="inlineStr">
        <is>
          <t>Sharing 10 Cookies Equally</t>
        </is>
      </c>
      <c r="I633" s="15" t="inlineStr">
        <is>
          <t>Sharing 10 Cookies Equally 🔢 | Learn Math for Kids | Tiny Sparks</t>
        </is>
      </c>
      <c r="J633" s="15" t="inlineStr">
        <is>
          <t>3–5</t>
        </is>
      </c>
      <c r="K633" s="15" t="inlineStr">
        <is>
          <t>Short 9:16</t>
        </is>
      </c>
      <c r="L633" s="15" t="inlineStr">
        <is>
          <t>45–60 s</t>
        </is>
      </c>
      <c r="M633" s="15" t="inlineStr">
        <is>
          <t>Bobo + Mila (counting fingers)</t>
        </is>
      </c>
      <c r="N633" s="15" t="inlineStr">
        <is>
          <t>Math: Sharing 10 Cookies Equally</t>
        </is>
      </c>
      <c r="O633" s="15" t="inlineStr">
        <is>
          <t>Yes</t>
        </is>
      </c>
      <c r="P633" s="15" t="inlineStr">
        <is>
          <t>P3</t>
        </is>
      </c>
      <c r="Q633" s="15" t="inlineStr">
        <is>
          <t>Idea</t>
        </is>
      </c>
      <c r="R633" s="48">
        <f>INDEX('Start Here'!$B$10:$B$16,WEEKDAY(C633,2))</f>
        <v/>
      </c>
      <c r="S633" s="48">
        <f>MOD(R633+'Start Here'!$B$6/24,1)</f>
        <v/>
      </c>
      <c r="T633" s="15" t="n"/>
      <c r="U633" s="15" t="n"/>
      <c r="V633" s="15" t="n"/>
      <c r="W633" s="15" t="n"/>
      <c r="X633" s="20" t="n"/>
      <c r="Y633" s="15" t="n"/>
    </row>
    <row r="634">
      <c r="A634" s="15" t="n">
        <v>633</v>
      </c>
      <c r="B634" s="16">
        <f>INT((A634-1)/7)+1</f>
        <v/>
      </c>
      <c r="C634" s="47">
        <f>'Start Here'!$B$5+A634-1</f>
        <v/>
      </c>
      <c r="D634" s="16">
        <f>TEXT(C634,"ddd")</f>
        <v/>
      </c>
      <c r="E634" s="15" t="inlineStr">
        <is>
          <t>Word Wednesday</t>
        </is>
      </c>
      <c r="F634" s="22" t="inlineStr">
        <is>
          <t>🔤 English/French Words</t>
        </is>
      </c>
      <c r="G634" s="15" t="n">
        <v>91</v>
      </c>
      <c r="H634" s="15" t="inlineStr">
        <is>
          <t>French Food Quiz</t>
        </is>
      </c>
      <c r="I634" s="15" t="inlineStr">
        <is>
          <t>French Food Quiz 🔤 | Kids Vocabulary | Tiny Sparks</t>
        </is>
      </c>
      <c r="J634" s="15" t="inlineStr">
        <is>
          <t>6–8</t>
        </is>
      </c>
      <c r="K634" s="15" t="inlineStr">
        <is>
          <t>Long 16:9</t>
        </is>
      </c>
      <c r="L634" s="15" t="inlineStr">
        <is>
          <t>4–8 min</t>
        </is>
      </c>
      <c r="M634" s="15" t="inlineStr">
        <is>
          <t>Mila + French narrator</t>
        </is>
      </c>
      <c r="N634" s="15" t="inlineStr">
        <is>
          <t>Vocabulary EN→FR: French Food Quiz</t>
        </is>
      </c>
      <c r="O634" s="15" t="inlineStr">
        <is>
          <t>Yes</t>
        </is>
      </c>
      <c r="P634" s="15" t="inlineStr">
        <is>
          <t>P3</t>
        </is>
      </c>
      <c r="Q634" s="15" t="inlineStr">
        <is>
          <t>Idea</t>
        </is>
      </c>
      <c r="R634" s="48">
        <f>INDEX('Start Here'!$B$10:$B$16,WEEKDAY(C634,2))</f>
        <v/>
      </c>
      <c r="S634" s="48">
        <f>MOD(R634+'Start Here'!$B$6/24,1)</f>
        <v/>
      </c>
      <c r="T634" s="15" t="n"/>
      <c r="U634" s="15" t="n"/>
      <c r="V634" s="15" t="n"/>
      <c r="W634" s="15" t="n"/>
      <c r="X634" s="20" t="n"/>
      <c r="Y634" s="15" t="n"/>
    </row>
    <row r="635">
      <c r="A635" s="15" t="n">
        <v>634</v>
      </c>
      <c r="B635" s="16">
        <f>INT((A635-1)/7)+1</f>
        <v/>
      </c>
      <c r="C635" s="47">
        <f>'Start Here'!$B$5+A635-1</f>
        <v/>
      </c>
      <c r="D635" s="16">
        <f>TEXT(C635,"ddd")</f>
        <v/>
      </c>
      <c r="E635" s="15" t="inlineStr">
        <is>
          <t>Animal Thursday</t>
        </is>
      </c>
      <c r="F635" s="23" t="inlineStr">
        <is>
          <t>🦁 Animal Stories</t>
        </is>
      </c>
      <c r="G635" s="15" t="n">
        <v>91</v>
      </c>
      <c r="H635" s="15" t="inlineStr">
        <is>
          <t>The Forest Mystery</t>
        </is>
      </c>
      <c r="I635" s="15" t="inlineStr">
        <is>
          <t>The Forest Mystery 🦁 | Animal Stories for Kids | Tiny Sparks</t>
        </is>
      </c>
      <c r="J635" s="15" t="inlineStr">
        <is>
          <t>3–5</t>
        </is>
      </c>
      <c r="K635" s="15" t="inlineStr">
        <is>
          <t>Long 16:9 + Short teaser</t>
        </is>
      </c>
      <c r="L635" s="15" t="inlineStr">
        <is>
          <t>3–5 min (Short: 50 s)</t>
        </is>
      </c>
      <c r="M635" s="15" t="inlineStr">
        <is>
          <t>guest animal(s) + Bobo</t>
        </is>
      </c>
      <c r="N635" s="15" t="inlineStr">
        <is>
          <t>Story + 3 true animal facts; value: caring for the planet</t>
        </is>
      </c>
      <c r="O635" s="15" t="inlineStr">
        <is>
          <t>Yes</t>
        </is>
      </c>
      <c r="P635" s="15" t="inlineStr">
        <is>
          <t>P3</t>
        </is>
      </c>
      <c r="Q635" s="15" t="inlineStr">
        <is>
          <t>Idea</t>
        </is>
      </c>
      <c r="R635" s="48">
        <f>INDEX('Start Here'!$B$10:$B$16,WEEKDAY(C635,2))</f>
        <v/>
      </c>
      <c r="S635" s="48">
        <f>MOD(R635+'Start Here'!$B$6/24,1)</f>
        <v/>
      </c>
      <c r="T635" s="15" t="n"/>
      <c r="U635" s="15" t="n"/>
      <c r="V635" s="15" t="n"/>
      <c r="W635" s="15" t="n"/>
      <c r="X635" s="20" t="n"/>
      <c r="Y635" s="15" t="n"/>
    </row>
    <row r="636">
      <c r="A636" s="15" t="n">
        <v>635</v>
      </c>
      <c r="B636" s="16">
        <f>INT((A636-1)/7)+1</f>
        <v/>
      </c>
      <c r="C636" s="47">
        <f>'Start Here'!$B$5+A636-1</f>
        <v/>
      </c>
      <c r="D636" s="16">
        <f>TEXT(C636,"ddd")</f>
        <v/>
      </c>
      <c r="E636" s="15" t="inlineStr">
        <is>
          <t>Science Friday</t>
        </is>
      </c>
      <c r="F636" s="24" t="inlineStr">
        <is>
          <t>🚀 Science for Kids</t>
        </is>
      </c>
      <c r="G636" s="15" t="n">
        <v>91</v>
      </c>
      <c r="H636" s="15" t="inlineStr">
        <is>
          <t>Simple Kitchen Science</t>
        </is>
      </c>
      <c r="I636" s="15" t="inlineStr">
        <is>
          <t>Simple Kitchen Science 🚀 | Science for Kids | Tiny Sparks</t>
        </is>
      </c>
      <c r="J636" s="15" t="inlineStr">
        <is>
          <t>6–8</t>
        </is>
      </c>
      <c r="K636" s="15" t="inlineStr">
        <is>
          <t>Short 9:16</t>
        </is>
      </c>
      <c r="L636" s="15" t="inlineStr">
        <is>
          <t>45–60 s</t>
        </is>
      </c>
      <c r="M636" s="15" t="inlineStr">
        <is>
          <t>Prof. Hoot + Leo (wrong guess) + Mila</t>
        </is>
      </c>
      <c r="N636" s="15" t="inlineStr">
        <is>
          <t>Answer simply: Simple Kitchen Science</t>
        </is>
      </c>
      <c r="O636" s="15" t="inlineStr">
        <is>
          <t>Yes</t>
        </is>
      </c>
      <c r="P636" s="15" t="inlineStr">
        <is>
          <t>P3</t>
        </is>
      </c>
      <c r="Q636" s="15" t="inlineStr">
        <is>
          <t>Idea</t>
        </is>
      </c>
      <c r="R636" s="48">
        <f>INDEX('Start Here'!$B$10:$B$16,WEEKDAY(C636,2))</f>
        <v/>
      </c>
      <c r="S636" s="48">
        <f>MOD(R636+'Start Here'!$B$6/24,1)</f>
        <v/>
      </c>
      <c r="T636" s="15" t="n"/>
      <c r="U636" s="15" t="n"/>
      <c r="V636" s="15" t="n"/>
      <c r="W636" s="15" t="n"/>
      <c r="X636" s="20" t="n"/>
      <c r="Y636" s="15" t="n"/>
    </row>
    <row r="637">
      <c r="A637" s="15" t="n">
        <v>636</v>
      </c>
      <c r="B637" s="16">
        <f>INT((A637-1)/7)+1</f>
        <v/>
      </c>
      <c r="C637" s="47">
        <f>'Start Here'!$B$5+A637-1</f>
        <v/>
      </c>
      <c r="D637" s="16">
        <f>TEXT(C637,"ddd")</f>
        <v/>
      </c>
      <c r="E637" s="15" t="inlineStr">
        <is>
          <t>Puzzle Saturday</t>
        </is>
      </c>
      <c r="F637" s="25" t="inlineStr">
        <is>
          <t>🧩 Puzzles &amp; Problem-Solving</t>
        </is>
      </c>
      <c r="G637" s="15" t="n">
        <v>91</v>
      </c>
      <c r="H637" s="15" t="inlineStr">
        <is>
          <t>10-Question Kids Challenge</t>
        </is>
      </c>
      <c r="I637" s="15" t="inlineStr">
        <is>
          <t>10-Question Kids Challenge 🧩 | Brain Games for Kids | Tiny Sparks</t>
        </is>
      </c>
      <c r="J637" s="15" t="inlineStr">
        <is>
          <t>3–5</t>
        </is>
      </c>
      <c r="K637" s="15" t="inlineStr">
        <is>
          <t>Long 16:9</t>
        </is>
      </c>
      <c r="L637" s="15" t="inlineStr">
        <is>
          <t>4–8 min</t>
        </is>
      </c>
      <c r="M637" s="15" t="inlineStr">
        <is>
          <t>Prof. Hoot + Leo + score strip</t>
        </is>
      </c>
      <c r="N637" s="15" t="inlineStr">
        <is>
          <t>Thinking skill: reasoning</t>
        </is>
      </c>
      <c r="O637" s="15" t="inlineStr">
        <is>
          <t>Yes</t>
        </is>
      </c>
      <c r="P637" s="15" t="inlineStr">
        <is>
          <t>P3</t>
        </is>
      </c>
      <c r="Q637" s="15" t="inlineStr">
        <is>
          <t>Idea</t>
        </is>
      </c>
      <c r="R637" s="48">
        <f>INDEX('Start Here'!$B$10:$B$16,WEEKDAY(C637,2))</f>
        <v/>
      </c>
      <c r="S637" s="48">
        <f>MOD(R637+'Start Here'!$B$6/24,1)</f>
        <v/>
      </c>
      <c r="T637" s="15" t="n"/>
      <c r="U637" s="15" t="n"/>
      <c r="V637" s="15" t="n"/>
      <c r="W637" s="15" t="n"/>
      <c r="X637" s="20" t="n"/>
      <c r="Y637" s="15" t="n"/>
    </row>
    <row r="638">
      <c r="A638" s="15" t="n">
        <v>637</v>
      </c>
      <c r="B638" s="16">
        <f>INT((A638-1)/7)+1</f>
        <v/>
      </c>
      <c r="C638" s="47">
        <f>'Start Here'!$B$5+A638-1</f>
        <v/>
      </c>
      <c r="D638" s="16">
        <f>TEXT(C638,"ddd")</f>
        <v/>
      </c>
      <c r="E638" s="15" t="inlineStr">
        <is>
          <t>Song Sunday</t>
        </is>
      </c>
      <c r="F638" s="26" t="inlineStr">
        <is>
          <t>🎵 Educational Songs</t>
        </is>
      </c>
      <c r="G638" s="15" t="n">
        <v>91</v>
      </c>
      <c r="H638" s="15" t="inlineStr">
        <is>
          <t>Good Morning Learning Song</t>
        </is>
      </c>
      <c r="I638" s="15" t="inlineStr">
        <is>
          <t>Good Morning Learning Song 🎵 | Kids Songs | Tiny Sparks</t>
        </is>
      </c>
      <c r="J638" s="15" t="inlineStr">
        <is>
          <t>3–5</t>
        </is>
      </c>
      <c r="K638" s="15" t="inlineStr">
        <is>
          <t>Long 16:9 + Short cut</t>
        </is>
      </c>
      <c r="L638" s="15" t="inlineStr">
        <is>
          <t>2–3 min (Short: 45 s chorus)</t>
        </is>
      </c>
      <c r="M638" s="15" t="inlineStr">
        <is>
          <t>Mila sings, all dance</t>
        </is>
      </c>
      <c r="N638" s="15" t="inlineStr">
        <is>
          <t>Sing &amp; learn: Good Morning Learning</t>
        </is>
      </c>
      <c r="O638" s="15" t="inlineStr">
        <is>
          <t>Yes</t>
        </is>
      </c>
      <c r="P638" s="15" t="inlineStr">
        <is>
          <t>P3</t>
        </is>
      </c>
      <c r="Q638" s="15" t="inlineStr">
        <is>
          <t>Idea</t>
        </is>
      </c>
      <c r="R638" s="48">
        <f>INDEX('Start Here'!$B$10:$B$16,WEEKDAY(C638,2))</f>
        <v/>
      </c>
      <c r="S638" s="48">
        <f>MOD(R638+'Start Here'!$B$6/24,1)</f>
        <v/>
      </c>
      <c r="T638" s="15" t="n"/>
      <c r="U638" s="15" t="n"/>
      <c r="V638" s="15" t="n"/>
      <c r="W638" s="15" t="n"/>
      <c r="X638" s="20" t="n"/>
      <c r="Y638" s="15" t="n"/>
    </row>
    <row r="639">
      <c r="A639" s="15" t="n">
        <v>638</v>
      </c>
      <c r="B639" s="16">
        <f>INT((A639-1)/7)+1</f>
        <v/>
      </c>
      <c r="C639" s="47">
        <f>'Start Here'!$B$5+A639-1</f>
        <v/>
      </c>
      <c r="D639" s="16">
        <f>TEXT(C639,"ddd")</f>
        <v/>
      </c>
      <c r="E639" s="15" t="inlineStr">
        <is>
          <t>Story Monday</t>
        </is>
      </c>
      <c r="F639" s="27" t="inlineStr">
        <is>
          <t>📚 Moral Stories</t>
        </is>
      </c>
      <c r="G639" s="15" t="n">
        <v>46</v>
      </c>
      <c r="H639" s="15" t="inlineStr">
        <is>
          <t>The Bear Who Learned to Recycle</t>
        </is>
      </c>
      <c r="I639" s="15" t="inlineStr">
        <is>
          <t>The Bear Who Learned to Recycle 📚 | Moral Stories for Kids | Tiny Sparks</t>
        </is>
      </c>
      <c r="J639" s="15" t="inlineStr">
        <is>
          <t>6–8</t>
        </is>
      </c>
      <c r="K639" s="15" t="inlineStr">
        <is>
          <t>Long 16:9 + Short teaser</t>
        </is>
      </c>
      <c r="L639" s="15" t="inlineStr">
        <is>
          <t>3–5 min (Short: 50 s)</t>
        </is>
      </c>
      <c r="M639" s="15" t="inlineStr">
        <is>
          <t>narrator + guest animals / Mila &amp; Leo</t>
        </is>
      </c>
      <c r="N639" s="15" t="inlineStr">
        <is>
          <t>Value: caring for the planet</t>
        </is>
      </c>
      <c r="O639" s="15" t="inlineStr">
        <is>
          <t>Yes</t>
        </is>
      </c>
      <c r="P639" s="15" t="inlineStr">
        <is>
          <t>P3</t>
        </is>
      </c>
      <c r="Q639" s="15" t="inlineStr">
        <is>
          <t>Idea</t>
        </is>
      </c>
      <c r="R639" s="48">
        <f>INDEX('Start Here'!$B$10:$B$16,WEEKDAY(C639,2))</f>
        <v/>
      </c>
      <c r="S639" s="48">
        <f>MOD(R639+'Start Here'!$B$6/24,1)</f>
        <v/>
      </c>
      <c r="T639" s="15" t="n"/>
      <c r="U639" s="15" t="n"/>
      <c r="V639" s="15" t="n"/>
      <c r="W639" s="15" t="n"/>
      <c r="X639" s="20" t="n"/>
      <c r="Y639" s="15" t="n"/>
    </row>
    <row r="640">
      <c r="A640" s="15" t="n">
        <v>639</v>
      </c>
      <c r="B640" s="16">
        <f>INT((A640-1)/7)+1</f>
        <v/>
      </c>
      <c r="C640" s="47">
        <f>'Start Here'!$B$5+A640-1</f>
        <v/>
      </c>
      <c r="D640" s="16">
        <f>TEXT(C640,"ddd")</f>
        <v/>
      </c>
      <c r="E640" s="15" t="inlineStr">
        <is>
          <t>Math Tuesday</t>
        </is>
      </c>
      <c r="F640" s="21" t="inlineStr">
        <is>
          <t>🔢 Numbers &amp; Math</t>
        </is>
      </c>
      <c r="G640" s="15" t="n">
        <v>92</v>
      </c>
      <c r="H640" s="15" t="inlineStr">
        <is>
          <t>Fractions with Pizza</t>
        </is>
      </c>
      <c r="I640" s="15" t="inlineStr">
        <is>
          <t>Fractions with Pizza 🔢 | Learn Math for Kids | Tiny Sparks</t>
        </is>
      </c>
      <c r="J640" s="15" t="inlineStr">
        <is>
          <t>6–8</t>
        </is>
      </c>
      <c r="K640" s="15" t="inlineStr">
        <is>
          <t>Short 9:16</t>
        </is>
      </c>
      <c r="L640" s="15" t="inlineStr">
        <is>
          <t>45–60 s</t>
        </is>
      </c>
      <c r="M640" s="15" t="inlineStr">
        <is>
          <t>Bobo + Mila (counting fingers)</t>
        </is>
      </c>
      <c r="N640" s="15" t="inlineStr">
        <is>
          <t>Math: Fractions with Pizza</t>
        </is>
      </c>
      <c r="O640" s="15" t="inlineStr">
        <is>
          <t>Yes</t>
        </is>
      </c>
      <c r="P640" s="15" t="inlineStr">
        <is>
          <t>P3</t>
        </is>
      </c>
      <c r="Q640" s="15" t="inlineStr">
        <is>
          <t>Idea</t>
        </is>
      </c>
      <c r="R640" s="48">
        <f>INDEX('Start Here'!$B$10:$B$16,WEEKDAY(C640,2))</f>
        <v/>
      </c>
      <c r="S640" s="48">
        <f>MOD(R640+'Start Here'!$B$6/24,1)</f>
        <v/>
      </c>
      <c r="T640" s="15" t="n"/>
      <c r="U640" s="15" t="n"/>
      <c r="V640" s="15" t="n"/>
      <c r="W640" s="15" t="n"/>
      <c r="X640" s="20" t="n"/>
      <c r="Y640" s="15" t="n"/>
    </row>
    <row r="641">
      <c r="A641" s="15" t="n">
        <v>640</v>
      </c>
      <c r="B641" s="16">
        <f>INT((A641-1)/7)+1</f>
        <v/>
      </c>
      <c r="C641" s="47">
        <f>'Start Here'!$B$5+A641-1</f>
        <v/>
      </c>
      <c r="D641" s="16">
        <f>TEXT(C641,"ddd")</f>
        <v/>
      </c>
      <c r="E641" s="15" t="inlineStr">
        <is>
          <t>Word Wednesday</t>
        </is>
      </c>
      <c r="F641" s="22" t="inlineStr">
        <is>
          <t>🔤 English/French Words</t>
        </is>
      </c>
      <c r="G641" s="15" t="n">
        <v>92</v>
      </c>
      <c r="H641" s="15" t="inlineStr">
        <is>
          <t>Guess the English Word</t>
        </is>
      </c>
      <c r="I641" s="15" t="inlineStr">
        <is>
          <t>Guess the English Word 🔤 | Kids Vocabulary | Tiny Sparks</t>
        </is>
      </c>
      <c r="J641" s="15" t="inlineStr">
        <is>
          <t>3–5</t>
        </is>
      </c>
      <c r="K641" s="15" t="inlineStr">
        <is>
          <t>Short 9:16</t>
        </is>
      </c>
      <c r="L641" s="15" t="inlineStr">
        <is>
          <t>45–60 s</t>
        </is>
      </c>
      <c r="M641" s="15" t="inlineStr">
        <is>
          <t>Mila + French narrator</t>
        </is>
      </c>
      <c r="N641" s="15" t="inlineStr">
        <is>
          <t>Vocabulary EN→FR: Guess the English Word</t>
        </is>
      </c>
      <c r="O641" s="15" t="inlineStr">
        <is>
          <t>Yes</t>
        </is>
      </c>
      <c r="P641" s="15" t="inlineStr">
        <is>
          <t>P3</t>
        </is>
      </c>
      <c r="Q641" s="15" t="inlineStr">
        <is>
          <t>Idea</t>
        </is>
      </c>
      <c r="R641" s="48">
        <f>INDEX('Start Here'!$B$10:$B$16,WEEKDAY(C641,2))</f>
        <v/>
      </c>
      <c r="S641" s="48">
        <f>MOD(R641+'Start Here'!$B$6/24,1)</f>
        <v/>
      </c>
      <c r="T641" s="15" t="n"/>
      <c r="U641" s="15" t="n"/>
      <c r="V641" s="15" t="n"/>
      <c r="W641" s="15" t="n"/>
      <c r="X641" s="20" t="n"/>
      <c r="Y641" s="15" t="n"/>
    </row>
    <row r="642">
      <c r="A642" s="15" t="n">
        <v>641</v>
      </c>
      <c r="B642" s="16">
        <f>INT((A642-1)/7)+1</f>
        <v/>
      </c>
      <c r="C642" s="47">
        <f>'Start Here'!$B$5+A642-1</f>
        <v/>
      </c>
      <c r="D642" s="16">
        <f>TEXT(C642,"ddd")</f>
        <v/>
      </c>
      <c r="E642" s="15" t="inlineStr">
        <is>
          <t>Animal Thursday</t>
        </is>
      </c>
      <c r="F642" s="23" t="inlineStr">
        <is>
          <t>🦁 Animal Stories</t>
        </is>
      </c>
      <c r="G642" s="15" t="n">
        <v>92</v>
      </c>
      <c r="H642" s="15" t="inlineStr">
        <is>
          <t>The Missing Golden Acorn</t>
        </is>
      </c>
      <c r="I642" s="15" t="inlineStr">
        <is>
          <t>The Missing Golden Acorn 🦁 | Animal Stories for Kids | Tiny Sparks</t>
        </is>
      </c>
      <c r="J642" s="15" t="inlineStr">
        <is>
          <t>3–5</t>
        </is>
      </c>
      <c r="K642" s="15" t="inlineStr">
        <is>
          <t>Long 16:9 + Short teaser</t>
        </is>
      </c>
      <c r="L642" s="15" t="inlineStr">
        <is>
          <t>3–5 min (Short: 50 s)</t>
        </is>
      </c>
      <c r="M642" s="15" t="inlineStr">
        <is>
          <t>guest animal(s) + Bobo</t>
        </is>
      </c>
      <c r="N642" s="15" t="inlineStr">
        <is>
          <t>Story + 3 true animal facts; value: what really matters</t>
        </is>
      </c>
      <c r="O642" s="15" t="inlineStr">
        <is>
          <t>Yes</t>
        </is>
      </c>
      <c r="P642" s="15" t="inlineStr">
        <is>
          <t>P3</t>
        </is>
      </c>
      <c r="Q642" s="15" t="inlineStr">
        <is>
          <t>Idea</t>
        </is>
      </c>
      <c r="R642" s="48">
        <f>INDEX('Start Here'!$B$10:$B$16,WEEKDAY(C642,2))</f>
        <v/>
      </c>
      <c r="S642" s="48">
        <f>MOD(R642+'Start Here'!$B$6/24,1)</f>
        <v/>
      </c>
      <c r="T642" s="15" t="n"/>
      <c r="U642" s="15" t="n"/>
      <c r="V642" s="15" t="n"/>
      <c r="W642" s="15" t="n"/>
      <c r="X642" s="20" t="n"/>
      <c r="Y642" s="15" t="n"/>
    </row>
    <row r="643">
      <c r="A643" s="15" t="n">
        <v>642</v>
      </c>
      <c r="B643" s="16">
        <f>INT((A643-1)/7)+1</f>
        <v/>
      </c>
      <c r="C643" s="47">
        <f>'Start Here'!$B$5+A643-1</f>
        <v/>
      </c>
      <c r="D643" s="16">
        <f>TEXT(C643,"ddd")</f>
        <v/>
      </c>
      <c r="E643" s="15" t="inlineStr">
        <is>
          <t>Science Friday</t>
        </is>
      </c>
      <c r="F643" s="24" t="inlineStr">
        <is>
          <t>🚀 Science for Kids</t>
        </is>
      </c>
      <c r="G643" s="15" t="n">
        <v>92</v>
      </c>
      <c r="H643" s="15" t="inlineStr">
        <is>
          <t>Five Safe Science Experiments</t>
        </is>
      </c>
      <c r="I643" s="15" t="inlineStr">
        <is>
          <t>Five Safe Science Experiments 🚀 | Science for Kids | Tiny Sparks</t>
        </is>
      </c>
      <c r="J643" s="15" t="inlineStr">
        <is>
          <t>6–8</t>
        </is>
      </c>
      <c r="K643" s="15" t="inlineStr">
        <is>
          <t>Long 16:9</t>
        </is>
      </c>
      <c r="L643" s="15" t="inlineStr">
        <is>
          <t>4–8 min</t>
        </is>
      </c>
      <c r="M643" s="15" t="inlineStr">
        <is>
          <t>Prof. Hoot + Leo (wrong guess) + Mila</t>
        </is>
      </c>
      <c r="N643" s="15" t="inlineStr">
        <is>
          <t>Answer simply: Five Safe Science Experiments</t>
        </is>
      </c>
      <c r="O643" s="15" t="inlineStr">
        <is>
          <t>Yes</t>
        </is>
      </c>
      <c r="P643" s="15" t="inlineStr">
        <is>
          <t>P3</t>
        </is>
      </c>
      <c r="Q643" s="15" t="inlineStr">
        <is>
          <t>Idea</t>
        </is>
      </c>
      <c r="R643" s="48">
        <f>INDEX('Start Here'!$B$10:$B$16,WEEKDAY(C643,2))</f>
        <v/>
      </c>
      <c r="S643" s="48">
        <f>MOD(R643+'Start Here'!$B$6/24,1)</f>
        <v/>
      </c>
      <c r="T643" s="15" t="n"/>
      <c r="U643" s="15" t="n"/>
      <c r="V643" s="15" t="n"/>
      <c r="W643" s="15" t="n"/>
      <c r="X643" s="20" t="n"/>
      <c r="Y643" s="15" t="n"/>
    </row>
    <row r="644">
      <c r="A644" s="15" t="n">
        <v>643</v>
      </c>
      <c r="B644" s="16">
        <f>INT((A644-1)/7)+1</f>
        <v/>
      </c>
      <c r="C644" s="47">
        <f>'Start Here'!$B$5+A644-1</f>
        <v/>
      </c>
      <c r="D644" s="16">
        <f>TEXT(C644,"ddd")</f>
        <v/>
      </c>
      <c r="E644" s="15" t="inlineStr">
        <is>
          <t>Puzzle Saturday</t>
        </is>
      </c>
      <c r="F644" s="25" t="inlineStr">
        <is>
          <t>🧩 Puzzles &amp; Problem-Solving</t>
        </is>
      </c>
      <c r="G644" s="15" t="n">
        <v>92</v>
      </c>
      <c r="H644" s="15" t="inlineStr">
        <is>
          <t>20-Question Kids Challenge</t>
        </is>
      </c>
      <c r="I644" s="15" t="inlineStr">
        <is>
          <t>20-Question Kids Challenge 🧩 | Brain Games for Kids | Tiny Sparks</t>
        </is>
      </c>
      <c r="J644" s="15" t="inlineStr">
        <is>
          <t>6–8</t>
        </is>
      </c>
      <c r="K644" s="15" t="inlineStr">
        <is>
          <t>Long 16:9</t>
        </is>
      </c>
      <c r="L644" s="15" t="inlineStr">
        <is>
          <t>4–8 min</t>
        </is>
      </c>
      <c r="M644" s="15" t="inlineStr">
        <is>
          <t>Prof. Hoot + Leo + score strip</t>
        </is>
      </c>
      <c r="N644" s="15" t="inlineStr">
        <is>
          <t>Thinking skill: reasoning</t>
        </is>
      </c>
      <c r="O644" s="15" t="inlineStr">
        <is>
          <t>Yes</t>
        </is>
      </c>
      <c r="P644" s="15" t="inlineStr">
        <is>
          <t>P3</t>
        </is>
      </c>
      <c r="Q644" s="15" t="inlineStr">
        <is>
          <t>Idea</t>
        </is>
      </c>
      <c r="R644" s="48">
        <f>INDEX('Start Here'!$B$10:$B$16,WEEKDAY(C644,2))</f>
        <v/>
      </c>
      <c r="S644" s="48">
        <f>MOD(R644+'Start Here'!$B$6/24,1)</f>
        <v/>
      </c>
      <c r="T644" s="15" t="n"/>
      <c r="U644" s="15" t="n"/>
      <c r="V644" s="15" t="n"/>
      <c r="W644" s="15" t="n"/>
      <c r="X644" s="20" t="n"/>
      <c r="Y644" s="15" t="n"/>
    </row>
    <row r="645">
      <c r="A645" s="15" t="n">
        <v>644</v>
      </c>
      <c r="B645" s="16">
        <f>INT((A645-1)/7)+1</f>
        <v/>
      </c>
      <c r="C645" s="47">
        <f>'Start Here'!$B$5+A645-1</f>
        <v/>
      </c>
      <c r="D645" s="16">
        <f>TEXT(C645,"ddd")</f>
        <v/>
      </c>
      <c r="E645" s="15" t="inlineStr">
        <is>
          <t>Song Sunday</t>
        </is>
      </c>
      <c r="F645" s="26" t="inlineStr">
        <is>
          <t>🎵 Educational Songs</t>
        </is>
      </c>
      <c r="G645" s="15" t="n">
        <v>92</v>
      </c>
      <c r="H645" s="15" t="inlineStr">
        <is>
          <t>Let's Go to School Song</t>
        </is>
      </c>
      <c r="I645" s="15" t="inlineStr">
        <is>
          <t>Let's Go to School Song 🎵 | Kids Songs | Tiny Sparks</t>
        </is>
      </c>
      <c r="J645" s="15" t="inlineStr">
        <is>
          <t>3–5</t>
        </is>
      </c>
      <c r="K645" s="15" t="inlineStr">
        <is>
          <t>Long 16:9 + Short cut</t>
        </is>
      </c>
      <c r="L645" s="15" t="inlineStr">
        <is>
          <t>2–3 min (Short: 45 s chorus)</t>
        </is>
      </c>
      <c r="M645" s="15" t="inlineStr">
        <is>
          <t>Mila sings, all dance</t>
        </is>
      </c>
      <c r="N645" s="15" t="inlineStr">
        <is>
          <t>Sing &amp; learn: Let's Go to School</t>
        </is>
      </c>
      <c r="O645" s="15" t="inlineStr">
        <is>
          <t>Yes</t>
        </is>
      </c>
      <c r="P645" s="15" t="inlineStr">
        <is>
          <t>P3</t>
        </is>
      </c>
      <c r="Q645" s="15" t="inlineStr">
        <is>
          <t>Idea</t>
        </is>
      </c>
      <c r="R645" s="48">
        <f>INDEX('Start Here'!$B$10:$B$16,WEEKDAY(C645,2))</f>
        <v/>
      </c>
      <c r="S645" s="48">
        <f>MOD(R645+'Start Here'!$B$6/24,1)</f>
        <v/>
      </c>
      <c r="T645" s="15" t="n"/>
      <c r="U645" s="15" t="n"/>
      <c r="V645" s="15" t="n"/>
      <c r="W645" s="15" t="n"/>
      <c r="X645" s="20" t="n"/>
      <c r="Y645" s="15" t="n"/>
    </row>
    <row r="646">
      <c r="A646" s="15" t="n">
        <v>645</v>
      </c>
      <c r="B646" s="16">
        <f>INT((A646-1)/7)+1</f>
        <v/>
      </c>
      <c r="C646" s="47">
        <f>'Start Here'!$B$5+A646-1</f>
        <v/>
      </c>
      <c r="D646" s="16">
        <f>TEXT(C646,"ddd")</f>
        <v/>
      </c>
      <c r="E646" s="15" t="inlineStr">
        <is>
          <t>Story Monday</t>
        </is>
      </c>
      <c r="F646" s="18" t="inlineStr">
        <is>
          <t>🧠 Educational Stories</t>
        </is>
      </c>
      <c r="G646" s="15" t="n">
        <v>47</v>
      </c>
      <c r="H646" s="15" t="inlineStr">
        <is>
          <t>The Mystery of the Empty Bird Nest</t>
        </is>
      </c>
      <c r="I646" s="15" t="inlineStr">
        <is>
          <t>The Mystery of the Empty Bird Nest 🧠 | Kids Stories | Tiny Sparks</t>
        </is>
      </c>
      <c r="J646" s="15" t="inlineStr">
        <is>
          <t>3–5</t>
        </is>
      </c>
      <c r="K646" s="15" t="inlineStr">
        <is>
          <t>Long 16:9 + Short teaser</t>
        </is>
      </c>
      <c r="L646" s="15" t="inlineStr">
        <is>
          <t>3–5 min (Short: 50 s)</t>
        </is>
      </c>
      <c r="M646" s="15" t="inlineStr">
        <is>
          <t>Mila, Leo, Bobo + narrator</t>
        </is>
      </c>
      <c r="N646" s="15" t="inlineStr">
        <is>
          <t>Curiosity + problem solving</t>
        </is>
      </c>
      <c r="O646" s="15" t="inlineStr">
        <is>
          <t>Build first: bird</t>
        </is>
      </c>
      <c r="P646" s="15" t="inlineStr">
        <is>
          <t>P3</t>
        </is>
      </c>
      <c r="Q646" s="15" t="inlineStr">
        <is>
          <t>Idea</t>
        </is>
      </c>
      <c r="R646" s="48">
        <f>INDEX('Start Here'!$B$10:$B$16,WEEKDAY(C646,2))</f>
        <v/>
      </c>
      <c r="S646" s="48">
        <f>MOD(R646+'Start Here'!$B$6/24,1)</f>
        <v/>
      </c>
      <c r="T646" s="15" t="n"/>
      <c r="U646" s="15" t="n"/>
      <c r="V646" s="15" t="n"/>
      <c r="W646" s="15" t="n"/>
      <c r="X646" s="20" t="n"/>
      <c r="Y646" s="15" t="n"/>
    </row>
    <row r="647">
      <c r="A647" s="15" t="n">
        <v>646</v>
      </c>
      <c r="B647" s="16">
        <f>INT((A647-1)/7)+1</f>
        <v/>
      </c>
      <c r="C647" s="47">
        <f>'Start Here'!$B$5+A647-1</f>
        <v/>
      </c>
      <c r="D647" s="16">
        <f>TEXT(C647,"ddd")</f>
        <v/>
      </c>
      <c r="E647" s="15" t="inlineStr">
        <is>
          <t>Math Tuesday</t>
        </is>
      </c>
      <c r="F647" s="21" t="inlineStr">
        <is>
          <t>🔢 Numbers &amp; Math</t>
        </is>
      </c>
      <c r="G647" s="15" t="n">
        <v>93</v>
      </c>
      <c r="H647" s="15" t="inlineStr">
        <is>
          <t>Half and Whole</t>
        </is>
      </c>
      <c r="I647" s="15" t="inlineStr">
        <is>
          <t>Half and Whole 🔢 | Learn Math for Kids | Tiny Sparks</t>
        </is>
      </c>
      <c r="J647" s="15" t="inlineStr">
        <is>
          <t>3–5</t>
        </is>
      </c>
      <c r="K647" s="15" t="inlineStr">
        <is>
          <t>Short 9:16</t>
        </is>
      </c>
      <c r="L647" s="15" t="inlineStr">
        <is>
          <t>45–60 s</t>
        </is>
      </c>
      <c r="M647" s="15" t="inlineStr">
        <is>
          <t>Bobo + Mila (counting fingers)</t>
        </is>
      </c>
      <c r="N647" s="15" t="inlineStr">
        <is>
          <t>Math: Half and Whole</t>
        </is>
      </c>
      <c r="O647" s="15" t="inlineStr">
        <is>
          <t>Yes</t>
        </is>
      </c>
      <c r="P647" s="15" t="inlineStr">
        <is>
          <t>P3</t>
        </is>
      </c>
      <c r="Q647" s="15" t="inlineStr">
        <is>
          <t>Idea</t>
        </is>
      </c>
      <c r="R647" s="48">
        <f>INDEX('Start Here'!$B$10:$B$16,WEEKDAY(C647,2))</f>
        <v/>
      </c>
      <c r="S647" s="48">
        <f>MOD(R647+'Start Here'!$B$6/24,1)</f>
        <v/>
      </c>
      <c r="T647" s="15" t="n"/>
      <c r="U647" s="15" t="n"/>
      <c r="V647" s="15" t="n"/>
      <c r="W647" s="15" t="n"/>
      <c r="X647" s="20" t="n"/>
      <c r="Y647" s="15" t="n"/>
    </row>
    <row r="648">
      <c r="A648" s="15" t="n">
        <v>647</v>
      </c>
      <c r="B648" s="16">
        <f>INT((A648-1)/7)+1</f>
        <v/>
      </c>
      <c r="C648" s="47">
        <f>'Start Here'!$B$5+A648-1</f>
        <v/>
      </c>
      <c r="D648" s="16">
        <f>TEXT(C648,"ddd")</f>
        <v/>
      </c>
      <c r="E648" s="15" t="inlineStr">
        <is>
          <t>Word Wednesday</t>
        </is>
      </c>
      <c r="F648" s="22" t="inlineStr">
        <is>
          <t>🔤 English/French Words</t>
        </is>
      </c>
      <c r="G648" s="15" t="n">
        <v>93</v>
      </c>
      <c r="H648" s="15" t="inlineStr">
        <is>
          <t>Guess the French Word</t>
        </is>
      </c>
      <c r="I648" s="15" t="inlineStr">
        <is>
          <t>Guess the French Word 🔤 | Kids Vocabulary | Tiny Sparks</t>
        </is>
      </c>
      <c r="J648" s="15" t="inlineStr">
        <is>
          <t>3–5</t>
        </is>
      </c>
      <c r="K648" s="15" t="inlineStr">
        <is>
          <t>Short 9:16</t>
        </is>
      </c>
      <c r="L648" s="15" t="inlineStr">
        <is>
          <t>45–60 s</t>
        </is>
      </c>
      <c r="M648" s="15" t="inlineStr">
        <is>
          <t>Mila + French narrator</t>
        </is>
      </c>
      <c r="N648" s="15" t="inlineStr">
        <is>
          <t>Vocabulary EN→FR: Guess the French Word</t>
        </is>
      </c>
      <c r="O648" s="15" t="inlineStr">
        <is>
          <t>Yes</t>
        </is>
      </c>
      <c r="P648" s="15" t="inlineStr">
        <is>
          <t>P3</t>
        </is>
      </c>
      <c r="Q648" s="15" t="inlineStr">
        <is>
          <t>Idea</t>
        </is>
      </c>
      <c r="R648" s="48">
        <f>INDEX('Start Here'!$B$10:$B$16,WEEKDAY(C648,2))</f>
        <v/>
      </c>
      <c r="S648" s="48">
        <f>MOD(R648+'Start Here'!$B$6/24,1)</f>
        <v/>
      </c>
      <c r="T648" s="15" t="n"/>
      <c r="U648" s="15" t="n"/>
      <c r="V648" s="15" t="n"/>
      <c r="W648" s="15" t="n"/>
      <c r="X648" s="20" t="n"/>
      <c r="Y648" s="15" t="n"/>
    </row>
    <row r="649">
      <c r="A649" s="15" t="n">
        <v>648</v>
      </c>
      <c r="B649" s="16">
        <f>INT((A649-1)/7)+1</f>
        <v/>
      </c>
      <c r="C649" s="47">
        <f>'Start Here'!$B$5+A649-1</f>
        <v/>
      </c>
      <c r="D649" s="16">
        <f>TEXT(C649,"ddd")</f>
        <v/>
      </c>
      <c r="E649" s="15" t="inlineStr">
        <is>
          <t>Animal Thursday</t>
        </is>
      </c>
      <c r="F649" s="23" t="inlineStr">
        <is>
          <t>🦁 Animal Stories</t>
        </is>
      </c>
      <c r="G649" s="15" t="n">
        <v>93</v>
      </c>
      <c r="H649" s="15" t="inlineStr">
        <is>
          <t>Who Stole the Giant Carrot?</t>
        </is>
      </c>
      <c r="I649" s="15" t="inlineStr">
        <is>
          <t>Who Stole the Giant Carrot? 🦁 | Animal Stories for Kids | Tiny Sparks</t>
        </is>
      </c>
      <c r="J649" s="15" t="inlineStr">
        <is>
          <t>3–5</t>
        </is>
      </c>
      <c r="K649" s="15" t="inlineStr">
        <is>
          <t>Long 16:9 + Short teaser</t>
        </is>
      </c>
      <c r="L649" s="15" t="inlineStr">
        <is>
          <t>3–5 min (Short: 50 s)</t>
        </is>
      </c>
      <c r="M649" s="15" t="inlineStr">
        <is>
          <t>guest animal(s) + Bobo</t>
        </is>
      </c>
      <c r="N649" s="15" t="inlineStr">
        <is>
          <t>Story + 3 true animal facts; value: friendship</t>
        </is>
      </c>
      <c r="O649" s="15" t="inlineStr">
        <is>
          <t>Yes</t>
        </is>
      </c>
      <c r="P649" s="15" t="inlineStr">
        <is>
          <t>P3</t>
        </is>
      </c>
      <c r="Q649" s="15" t="inlineStr">
        <is>
          <t>Idea</t>
        </is>
      </c>
      <c r="R649" s="48">
        <f>INDEX('Start Here'!$B$10:$B$16,WEEKDAY(C649,2))</f>
        <v/>
      </c>
      <c r="S649" s="48">
        <f>MOD(R649+'Start Here'!$B$6/24,1)</f>
        <v/>
      </c>
      <c r="T649" s="15" t="n"/>
      <c r="U649" s="15" t="n"/>
      <c r="V649" s="15" t="n"/>
      <c r="W649" s="15" t="n"/>
      <c r="X649" s="20" t="n"/>
      <c r="Y649" s="15" t="n"/>
    </row>
    <row r="650">
      <c r="A650" s="15" t="n">
        <v>649</v>
      </c>
      <c r="B650" s="16">
        <f>INT((A650-1)/7)+1</f>
        <v/>
      </c>
      <c r="C650" s="47">
        <f>'Start Here'!$B$5+A650-1</f>
        <v/>
      </c>
      <c r="D650" s="16">
        <f>TEXT(C650,"ddd")</f>
        <v/>
      </c>
      <c r="E650" s="15" t="inlineStr">
        <is>
          <t>Science Friday</t>
        </is>
      </c>
      <c r="F650" s="24" t="inlineStr">
        <is>
          <t>🚀 Science for Kids</t>
        </is>
      </c>
      <c r="G650" s="15" t="n">
        <v>93</v>
      </c>
      <c r="H650" s="15" t="inlineStr">
        <is>
          <t>Amazing Science with Water</t>
        </is>
      </c>
      <c r="I650" s="15" t="inlineStr">
        <is>
          <t>Amazing Science with Water 🚀 | Science for Kids | Tiny Sparks</t>
        </is>
      </c>
      <c r="J650" s="15" t="inlineStr">
        <is>
          <t>6–8</t>
        </is>
      </c>
      <c r="K650" s="15" t="inlineStr">
        <is>
          <t>Short 9:16</t>
        </is>
      </c>
      <c r="L650" s="15" t="inlineStr">
        <is>
          <t>45–60 s</t>
        </is>
      </c>
      <c r="M650" s="15" t="inlineStr">
        <is>
          <t>Prof. Hoot + Leo (wrong guess) + Mila</t>
        </is>
      </c>
      <c r="N650" s="15" t="inlineStr">
        <is>
          <t>Answer simply: Amazing Science with Water</t>
        </is>
      </c>
      <c r="O650" s="15" t="inlineStr">
        <is>
          <t>Yes</t>
        </is>
      </c>
      <c r="P650" s="15" t="inlineStr">
        <is>
          <t>P3</t>
        </is>
      </c>
      <c r="Q650" s="15" t="inlineStr">
        <is>
          <t>Idea</t>
        </is>
      </c>
      <c r="R650" s="48">
        <f>INDEX('Start Here'!$B$10:$B$16,WEEKDAY(C650,2))</f>
        <v/>
      </c>
      <c r="S650" s="48">
        <f>MOD(R650+'Start Here'!$B$6/24,1)</f>
        <v/>
      </c>
      <c r="T650" s="15" t="n"/>
      <c r="U650" s="15" t="n"/>
      <c r="V650" s="15" t="n"/>
      <c r="W650" s="15" t="n"/>
      <c r="X650" s="20" t="n"/>
      <c r="Y650" s="15" t="n"/>
    </row>
    <row r="651">
      <c r="A651" s="15" t="n">
        <v>650</v>
      </c>
      <c r="B651" s="16">
        <f>INT((A651-1)/7)+1</f>
        <v/>
      </c>
      <c r="C651" s="47">
        <f>'Start Here'!$B$5+A651-1</f>
        <v/>
      </c>
      <c r="D651" s="16">
        <f>TEXT(C651,"ddd")</f>
        <v/>
      </c>
      <c r="E651" s="15" t="inlineStr">
        <is>
          <t>Puzzle Saturday</t>
        </is>
      </c>
      <c r="F651" s="25" t="inlineStr">
        <is>
          <t>🧩 Puzzles &amp; Problem-Solving</t>
        </is>
      </c>
      <c r="G651" s="15" t="n">
        <v>93</v>
      </c>
      <c r="H651" s="15" t="inlineStr">
        <is>
          <t>30-Second Puzzle Challenge</t>
        </is>
      </c>
      <c r="I651" s="15" t="inlineStr">
        <is>
          <t>30-Second Puzzle Challenge 🧩 | Brain Games for Kids | Tiny Sparks</t>
        </is>
      </c>
      <c r="J651" s="15" t="inlineStr">
        <is>
          <t>3–5</t>
        </is>
      </c>
      <c r="K651" s="15" t="inlineStr">
        <is>
          <t>Long 16:9</t>
        </is>
      </c>
      <c r="L651" s="15" t="inlineStr">
        <is>
          <t>4–8 min</t>
        </is>
      </c>
      <c r="M651" s="15" t="inlineStr">
        <is>
          <t>Prof. Hoot + Leo + score strip</t>
        </is>
      </c>
      <c r="N651" s="15" t="inlineStr">
        <is>
          <t>Thinking skill: reasoning</t>
        </is>
      </c>
      <c r="O651" s="15" t="inlineStr">
        <is>
          <t>Yes</t>
        </is>
      </c>
      <c r="P651" s="15" t="inlineStr">
        <is>
          <t>P3</t>
        </is>
      </c>
      <c r="Q651" s="15" t="inlineStr">
        <is>
          <t>Idea</t>
        </is>
      </c>
      <c r="R651" s="48">
        <f>INDEX('Start Here'!$B$10:$B$16,WEEKDAY(C651,2))</f>
        <v/>
      </c>
      <c r="S651" s="48">
        <f>MOD(R651+'Start Here'!$B$6/24,1)</f>
        <v/>
      </c>
      <c r="T651" s="15" t="n"/>
      <c r="U651" s="15" t="n"/>
      <c r="V651" s="15" t="n"/>
      <c r="W651" s="15" t="n"/>
      <c r="X651" s="20" t="n"/>
      <c r="Y651" s="15" t="n"/>
    </row>
    <row r="652">
      <c r="A652" s="15" t="n">
        <v>651</v>
      </c>
      <c r="B652" s="16">
        <f>INT((A652-1)/7)+1</f>
        <v/>
      </c>
      <c r="C652" s="47">
        <f>'Start Here'!$B$5+A652-1</f>
        <v/>
      </c>
      <c r="D652" s="16">
        <f>TEXT(C652,"ddd")</f>
        <v/>
      </c>
      <c r="E652" s="15" t="inlineStr">
        <is>
          <t>Song Sunday</t>
        </is>
      </c>
      <c r="F652" s="26" t="inlineStr">
        <is>
          <t>🎵 Educational Songs</t>
        </is>
      </c>
      <c r="G652" s="15" t="n">
        <v>93</v>
      </c>
      <c r="H652" s="15" t="inlineStr">
        <is>
          <t>Let's Learn Together Song</t>
        </is>
      </c>
      <c r="I652" s="15" t="inlineStr">
        <is>
          <t>Let's Learn Together Song 🎵 | Kids Songs | Tiny Sparks</t>
        </is>
      </c>
      <c r="J652" s="15" t="inlineStr">
        <is>
          <t>3–5</t>
        </is>
      </c>
      <c r="K652" s="15" t="inlineStr">
        <is>
          <t>Long 16:9 + Short cut</t>
        </is>
      </c>
      <c r="L652" s="15" t="inlineStr">
        <is>
          <t>2–3 min (Short: 45 s chorus)</t>
        </is>
      </c>
      <c r="M652" s="15" t="inlineStr">
        <is>
          <t>Mila sings, all dance</t>
        </is>
      </c>
      <c r="N652" s="15" t="inlineStr">
        <is>
          <t>Sing &amp; learn: Let's Learn Together</t>
        </is>
      </c>
      <c r="O652" s="15" t="inlineStr">
        <is>
          <t>Yes</t>
        </is>
      </c>
      <c r="P652" s="15" t="inlineStr">
        <is>
          <t>P3</t>
        </is>
      </c>
      <c r="Q652" s="15" t="inlineStr">
        <is>
          <t>Idea</t>
        </is>
      </c>
      <c r="R652" s="48">
        <f>INDEX('Start Here'!$B$10:$B$16,WEEKDAY(C652,2))</f>
        <v/>
      </c>
      <c r="S652" s="48">
        <f>MOD(R652+'Start Here'!$B$6/24,1)</f>
        <v/>
      </c>
      <c r="T652" s="15" t="n"/>
      <c r="U652" s="15" t="n"/>
      <c r="V652" s="15" t="n"/>
      <c r="W652" s="15" t="n"/>
      <c r="X652" s="20" t="n"/>
      <c r="Y652" s="15" t="n"/>
    </row>
    <row r="653">
      <c r="A653" s="15" t="n">
        <v>652</v>
      </c>
      <c r="B653" s="16">
        <f>INT((A653-1)/7)+1</f>
        <v/>
      </c>
      <c r="C653" s="47">
        <f>'Start Here'!$B$5+A653-1</f>
        <v/>
      </c>
      <c r="D653" s="16">
        <f>TEXT(C653,"ddd")</f>
        <v/>
      </c>
      <c r="E653" s="15" t="inlineStr">
        <is>
          <t>Story Monday</t>
        </is>
      </c>
      <c r="F653" s="27" t="inlineStr">
        <is>
          <t>📚 Moral Stories</t>
        </is>
      </c>
      <c r="G653" s="15" t="n">
        <v>47</v>
      </c>
      <c r="H653" s="15" t="inlineStr">
        <is>
          <t>The Fox Who Protected the River</t>
        </is>
      </c>
      <c r="I653" s="15" t="inlineStr">
        <is>
          <t>The Fox Who Protected the River 📚 | Moral Stories for Kids | Tiny Sparks</t>
        </is>
      </c>
      <c r="J653" s="15" t="inlineStr">
        <is>
          <t>3–5</t>
        </is>
      </c>
      <c r="K653" s="15" t="inlineStr">
        <is>
          <t>Long 16:9 + Short teaser</t>
        </is>
      </c>
      <c r="L653" s="15" t="inlineStr">
        <is>
          <t>3–5 min (Short: 50 s)</t>
        </is>
      </c>
      <c r="M653" s="15" t="inlineStr">
        <is>
          <t>narrator + guest animals / Mila &amp; Leo</t>
        </is>
      </c>
      <c r="N653" s="15" t="inlineStr">
        <is>
          <t>Value: caring for the planet</t>
        </is>
      </c>
      <c r="O653" s="15" t="inlineStr">
        <is>
          <t>Yes</t>
        </is>
      </c>
      <c r="P653" s="15" t="inlineStr">
        <is>
          <t>P3</t>
        </is>
      </c>
      <c r="Q653" s="15" t="inlineStr">
        <is>
          <t>Idea</t>
        </is>
      </c>
      <c r="R653" s="48">
        <f>INDEX('Start Here'!$B$10:$B$16,WEEKDAY(C653,2))</f>
        <v/>
      </c>
      <c r="S653" s="48">
        <f>MOD(R653+'Start Here'!$B$6/24,1)</f>
        <v/>
      </c>
      <c r="T653" s="15" t="n"/>
      <c r="U653" s="15" t="n"/>
      <c r="V653" s="15" t="n"/>
      <c r="W653" s="15" t="n"/>
      <c r="X653" s="20" t="n"/>
      <c r="Y653" s="15" t="n"/>
    </row>
    <row r="654">
      <c r="A654" s="15" t="n">
        <v>653</v>
      </c>
      <c r="B654" s="16">
        <f>INT((A654-1)/7)+1</f>
        <v/>
      </c>
      <c r="C654" s="47">
        <f>'Start Here'!$B$5+A654-1</f>
        <v/>
      </c>
      <c r="D654" s="16">
        <f>TEXT(C654,"ddd")</f>
        <v/>
      </c>
      <c r="E654" s="15" t="inlineStr">
        <is>
          <t>Math Tuesday</t>
        </is>
      </c>
      <c r="F654" s="21" t="inlineStr">
        <is>
          <t>🔢 Numbers &amp; Math</t>
        </is>
      </c>
      <c r="G654" s="15" t="n">
        <v>94</v>
      </c>
      <c r="H654" s="15" t="inlineStr">
        <is>
          <t>Time: Learn the Clock</t>
        </is>
      </c>
      <c r="I654" s="15" t="inlineStr">
        <is>
          <t>Time: Learn the Clock 🔢 | Learn Math for Kids | Tiny Sparks</t>
        </is>
      </c>
      <c r="J654" s="15" t="inlineStr">
        <is>
          <t>6–8</t>
        </is>
      </c>
      <c r="K654" s="15" t="inlineStr">
        <is>
          <t>Short 9:16</t>
        </is>
      </c>
      <c r="L654" s="15" t="inlineStr">
        <is>
          <t>45–60 s</t>
        </is>
      </c>
      <c r="M654" s="15" t="inlineStr">
        <is>
          <t>Bobo + Mila (counting fingers)</t>
        </is>
      </c>
      <c r="N654" s="15" t="inlineStr">
        <is>
          <t>Math: Time: Learn the Clock</t>
        </is>
      </c>
      <c r="O654" s="15" t="inlineStr">
        <is>
          <t>Yes</t>
        </is>
      </c>
      <c r="P654" s="15" t="inlineStr">
        <is>
          <t>P3</t>
        </is>
      </c>
      <c r="Q654" s="15" t="inlineStr">
        <is>
          <t>Idea</t>
        </is>
      </c>
      <c r="R654" s="48">
        <f>INDEX('Start Here'!$B$10:$B$16,WEEKDAY(C654,2))</f>
        <v/>
      </c>
      <c r="S654" s="48">
        <f>MOD(R654+'Start Here'!$B$6/24,1)</f>
        <v/>
      </c>
      <c r="T654" s="15" t="n"/>
      <c r="U654" s="15" t="n"/>
      <c r="V654" s="15" t="n"/>
      <c r="W654" s="15" t="n"/>
      <c r="X654" s="20" t="n"/>
      <c r="Y654" s="15" t="n"/>
    </row>
    <row r="655">
      <c r="A655" s="15" t="n">
        <v>654</v>
      </c>
      <c r="B655" s="16">
        <f>INT((A655-1)/7)+1</f>
        <v/>
      </c>
      <c r="C655" s="47">
        <f>'Start Here'!$B$5+A655-1</f>
        <v/>
      </c>
      <c r="D655" s="16">
        <f>TEXT(C655,"ddd")</f>
        <v/>
      </c>
      <c r="E655" s="15" t="inlineStr">
        <is>
          <t>Word Wednesday</t>
        </is>
      </c>
      <c r="F655" s="22" t="inlineStr">
        <is>
          <t>🔤 English/French Words</t>
        </is>
      </c>
      <c r="G655" s="15" t="n">
        <v>94</v>
      </c>
      <c r="H655" s="15" t="inlineStr">
        <is>
          <t>English/French Memory Game</t>
        </is>
      </c>
      <c r="I655" s="15" t="inlineStr">
        <is>
          <t>English/French Memory Game 🔤 | Kids Vocabulary | Tiny Sparks</t>
        </is>
      </c>
      <c r="J655" s="15" t="inlineStr">
        <is>
          <t>6–8</t>
        </is>
      </c>
      <c r="K655" s="15" t="inlineStr">
        <is>
          <t>Long 16:9</t>
        </is>
      </c>
      <c r="L655" s="15" t="inlineStr">
        <is>
          <t>4–8 min</t>
        </is>
      </c>
      <c r="M655" s="15" t="inlineStr">
        <is>
          <t>Mila + French narrator</t>
        </is>
      </c>
      <c r="N655" s="15" t="inlineStr">
        <is>
          <t>Vocabulary EN→FR: English/French Memory Game</t>
        </is>
      </c>
      <c r="O655" s="15" t="inlineStr">
        <is>
          <t>Yes</t>
        </is>
      </c>
      <c r="P655" s="15" t="inlineStr">
        <is>
          <t>P3</t>
        </is>
      </c>
      <c r="Q655" s="15" t="inlineStr">
        <is>
          <t>Idea</t>
        </is>
      </c>
      <c r="R655" s="48">
        <f>INDEX('Start Here'!$B$10:$B$16,WEEKDAY(C655,2))</f>
        <v/>
      </c>
      <c r="S655" s="48">
        <f>MOD(R655+'Start Here'!$B$6/24,1)</f>
        <v/>
      </c>
      <c r="T655" s="15" t="n"/>
      <c r="U655" s="15" t="n"/>
      <c r="V655" s="15" t="n"/>
      <c r="W655" s="15" t="n"/>
      <c r="X655" s="20" t="n"/>
      <c r="Y655" s="15" t="n"/>
    </row>
    <row r="656">
      <c r="A656" s="15" t="n">
        <v>655</v>
      </c>
      <c r="B656" s="16">
        <f>INT((A656-1)/7)+1</f>
        <v/>
      </c>
      <c r="C656" s="47">
        <f>'Start Here'!$B$5+A656-1</f>
        <v/>
      </c>
      <c r="D656" s="16">
        <f>TEXT(C656,"ddd")</f>
        <v/>
      </c>
      <c r="E656" s="15" t="inlineStr">
        <is>
          <t>Animal Thursday</t>
        </is>
      </c>
      <c r="F656" s="23" t="inlineStr">
        <is>
          <t>🦁 Animal Stories</t>
        </is>
      </c>
      <c r="G656" s="15" t="n">
        <v>94</v>
      </c>
      <c r="H656" s="15" t="inlineStr">
        <is>
          <t>The Mystery of the Empty Nest</t>
        </is>
      </c>
      <c r="I656" s="15" t="inlineStr">
        <is>
          <t>The Mystery of the Empty Nest 🦁 | Animal Stories for Kids | Tiny Sparks</t>
        </is>
      </c>
      <c r="J656" s="15" t="inlineStr">
        <is>
          <t>3–5</t>
        </is>
      </c>
      <c r="K656" s="15" t="inlineStr">
        <is>
          <t>Long 16:9 + Short teaser</t>
        </is>
      </c>
      <c r="L656" s="15" t="inlineStr">
        <is>
          <t>3–5 min (Short: 50 s)</t>
        </is>
      </c>
      <c r="M656" s="15" t="inlineStr">
        <is>
          <t>guest animal(s) + Bobo</t>
        </is>
      </c>
      <c r="N656" s="15" t="inlineStr">
        <is>
          <t>Story + 3 true animal facts; value: friendship</t>
        </is>
      </c>
      <c r="O656" s="15" t="inlineStr">
        <is>
          <t>Yes</t>
        </is>
      </c>
      <c r="P656" s="15" t="inlineStr">
        <is>
          <t>P3</t>
        </is>
      </c>
      <c r="Q656" s="15" t="inlineStr">
        <is>
          <t>Idea</t>
        </is>
      </c>
      <c r="R656" s="48">
        <f>INDEX('Start Here'!$B$10:$B$16,WEEKDAY(C656,2))</f>
        <v/>
      </c>
      <c r="S656" s="48">
        <f>MOD(R656+'Start Here'!$B$6/24,1)</f>
        <v/>
      </c>
      <c r="T656" s="15" t="n"/>
      <c r="U656" s="15" t="n"/>
      <c r="V656" s="15" t="n"/>
      <c r="W656" s="15" t="n"/>
      <c r="X656" s="20" t="n"/>
      <c r="Y656" s="15" t="n"/>
    </row>
    <row r="657">
      <c r="A657" s="15" t="n">
        <v>656</v>
      </c>
      <c r="B657" s="16">
        <f>INT((A657-1)/7)+1</f>
        <v/>
      </c>
      <c r="C657" s="47">
        <f>'Start Here'!$B$5+A657-1</f>
        <v/>
      </c>
      <c r="D657" s="16">
        <f>TEXT(C657,"ddd")</f>
        <v/>
      </c>
      <c r="E657" s="15" t="inlineStr">
        <is>
          <t>Science Friday</t>
        </is>
      </c>
      <c r="F657" s="24" t="inlineStr">
        <is>
          <t>🚀 Science for Kids</t>
        </is>
      </c>
      <c r="G657" s="15" t="n">
        <v>94</v>
      </c>
      <c r="H657" s="15" t="inlineStr">
        <is>
          <t>Amazing Science with Air</t>
        </is>
      </c>
      <c r="I657" s="15" t="inlineStr">
        <is>
          <t>Amazing Science with Air 🚀 | Science for Kids | Tiny Sparks</t>
        </is>
      </c>
      <c r="J657" s="15" t="inlineStr">
        <is>
          <t>6–8</t>
        </is>
      </c>
      <c r="K657" s="15" t="inlineStr">
        <is>
          <t>Short 9:16</t>
        </is>
      </c>
      <c r="L657" s="15" t="inlineStr">
        <is>
          <t>45–60 s</t>
        </is>
      </c>
      <c r="M657" s="15" t="inlineStr">
        <is>
          <t>Prof. Hoot + Leo (wrong guess) + Mila</t>
        </is>
      </c>
      <c r="N657" s="15" t="inlineStr">
        <is>
          <t>Answer simply: Amazing Science with Air</t>
        </is>
      </c>
      <c r="O657" s="15" t="inlineStr">
        <is>
          <t>Yes</t>
        </is>
      </c>
      <c r="P657" s="15" t="inlineStr">
        <is>
          <t>P3</t>
        </is>
      </c>
      <c r="Q657" s="15" t="inlineStr">
        <is>
          <t>Idea</t>
        </is>
      </c>
      <c r="R657" s="48">
        <f>INDEX('Start Here'!$B$10:$B$16,WEEKDAY(C657,2))</f>
        <v/>
      </c>
      <c r="S657" s="48">
        <f>MOD(R657+'Start Here'!$B$6/24,1)</f>
        <v/>
      </c>
      <c r="T657" s="15" t="n"/>
      <c r="U657" s="15" t="n"/>
      <c r="V657" s="15" t="n"/>
      <c r="W657" s="15" t="n"/>
      <c r="X657" s="20" t="n"/>
      <c r="Y657" s="15" t="n"/>
    </row>
    <row r="658">
      <c r="A658" s="15" t="n">
        <v>657</v>
      </c>
      <c r="B658" s="16">
        <f>INT((A658-1)/7)+1</f>
        <v/>
      </c>
      <c r="C658" s="47">
        <f>'Start Here'!$B$5+A658-1</f>
        <v/>
      </c>
      <c r="D658" s="16">
        <f>TEXT(C658,"ddd")</f>
        <v/>
      </c>
      <c r="E658" s="15" t="inlineStr">
        <is>
          <t>Puzzle Saturday</t>
        </is>
      </c>
      <c r="F658" s="25" t="inlineStr">
        <is>
          <t>🧩 Puzzles &amp; Problem-Solving</t>
        </is>
      </c>
      <c r="G658" s="15" t="n">
        <v>94</v>
      </c>
      <c r="H658" s="15" t="inlineStr">
        <is>
          <t>Can You Solve It Before Me?</t>
        </is>
      </c>
      <c r="I658" s="15" t="inlineStr">
        <is>
          <t>Can You Solve It Before Me? 🧩 | Brain Games for Kids | Tiny Sparks</t>
        </is>
      </c>
      <c r="J658" s="15" t="inlineStr">
        <is>
          <t>3–5</t>
        </is>
      </c>
      <c r="K658" s="15" t="inlineStr">
        <is>
          <t>Short 9:16</t>
        </is>
      </c>
      <c r="L658" s="15" t="inlineStr">
        <is>
          <t>45–60 s</t>
        </is>
      </c>
      <c r="M658" s="15" t="inlineStr">
        <is>
          <t>Prof. Hoot + Leo + score strip</t>
        </is>
      </c>
      <c r="N658" s="15" t="inlineStr">
        <is>
          <t>Thinking skill: patterns</t>
        </is>
      </c>
      <c r="O658" s="15" t="inlineStr">
        <is>
          <t>Yes</t>
        </is>
      </c>
      <c r="P658" s="15" t="inlineStr">
        <is>
          <t>P3</t>
        </is>
      </c>
      <c r="Q658" s="15" t="inlineStr">
        <is>
          <t>Idea</t>
        </is>
      </c>
      <c r="R658" s="48">
        <f>INDEX('Start Here'!$B$10:$B$16,WEEKDAY(C658,2))</f>
        <v/>
      </c>
      <c r="S658" s="48">
        <f>MOD(R658+'Start Here'!$B$6/24,1)</f>
        <v/>
      </c>
      <c r="T658" s="15" t="n"/>
      <c r="U658" s="15" t="n"/>
      <c r="V658" s="15" t="n"/>
      <c r="W658" s="15" t="n"/>
      <c r="X658" s="20" t="n"/>
      <c r="Y658" s="15" t="n"/>
    </row>
    <row r="659">
      <c r="A659" s="15" t="n">
        <v>658</v>
      </c>
      <c r="B659" s="16">
        <f>INT((A659-1)/7)+1</f>
        <v/>
      </c>
      <c r="C659" s="47">
        <f>'Start Here'!$B$5+A659-1</f>
        <v/>
      </c>
      <c r="D659" s="16">
        <f>TEXT(C659,"ddd")</f>
        <v/>
      </c>
      <c r="E659" s="15" t="inlineStr">
        <is>
          <t>Song Sunday</t>
        </is>
      </c>
      <c r="F659" s="26" t="inlineStr">
        <is>
          <t>🎵 Educational Songs</t>
        </is>
      </c>
      <c r="G659" s="15" t="n">
        <v>94</v>
      </c>
      <c r="H659" s="15" t="inlineStr">
        <is>
          <t>Happy Learning Song</t>
        </is>
      </c>
      <c r="I659" s="15" t="inlineStr">
        <is>
          <t>Happy Learning Song 🎵 | Kids Songs | Tiny Sparks</t>
        </is>
      </c>
      <c r="J659" s="15" t="inlineStr">
        <is>
          <t>3–5</t>
        </is>
      </c>
      <c r="K659" s="15" t="inlineStr">
        <is>
          <t>Long 16:9 + Short cut</t>
        </is>
      </c>
      <c r="L659" s="15" t="inlineStr">
        <is>
          <t>2–3 min (Short: 45 s chorus)</t>
        </is>
      </c>
      <c r="M659" s="15" t="inlineStr">
        <is>
          <t>Mila sings, all dance</t>
        </is>
      </c>
      <c r="N659" s="15" t="inlineStr">
        <is>
          <t>Sing &amp; learn: Happy Learning</t>
        </is>
      </c>
      <c r="O659" s="15" t="inlineStr">
        <is>
          <t>Yes</t>
        </is>
      </c>
      <c r="P659" s="15" t="inlineStr">
        <is>
          <t>P3</t>
        </is>
      </c>
      <c r="Q659" s="15" t="inlineStr">
        <is>
          <t>Idea</t>
        </is>
      </c>
      <c r="R659" s="48">
        <f>INDEX('Start Here'!$B$10:$B$16,WEEKDAY(C659,2))</f>
        <v/>
      </c>
      <c r="S659" s="48">
        <f>MOD(R659+'Start Here'!$B$6/24,1)</f>
        <v/>
      </c>
      <c r="T659" s="15" t="n"/>
      <c r="U659" s="15" t="n"/>
      <c r="V659" s="15" t="n"/>
      <c r="W659" s="15" t="n"/>
      <c r="X659" s="20" t="n"/>
      <c r="Y659" s="15" t="n"/>
    </row>
    <row r="660">
      <c r="A660" s="15" t="n">
        <v>659</v>
      </c>
      <c r="B660" s="16">
        <f>INT((A660-1)/7)+1</f>
        <v/>
      </c>
      <c r="C660" s="47">
        <f>'Start Here'!$B$5+A660-1</f>
        <v/>
      </c>
      <c r="D660" s="16">
        <f>TEXT(C660,"ddd")</f>
        <v/>
      </c>
      <c r="E660" s="15" t="inlineStr">
        <is>
          <t>Story Monday</t>
        </is>
      </c>
      <c r="F660" s="18" t="inlineStr">
        <is>
          <t>🧠 Educational Stories</t>
        </is>
      </c>
      <c r="G660" s="15" t="n">
        <v>48</v>
      </c>
      <c r="H660" s="15" t="inlineStr">
        <is>
          <t>Benny Learns About Empathy</t>
        </is>
      </c>
      <c r="I660" s="15" t="inlineStr">
        <is>
          <t>Bobo Learns About Empathy 🧠 | Kids Stories | Tiny Sparks</t>
        </is>
      </c>
      <c r="J660" s="15" t="inlineStr">
        <is>
          <t>3–5</t>
        </is>
      </c>
      <c r="K660" s="15" t="inlineStr">
        <is>
          <t>Long 16:9 + Short teaser</t>
        </is>
      </c>
      <c r="L660" s="15" t="inlineStr">
        <is>
          <t>3–5 min (Short: 50 s)</t>
        </is>
      </c>
      <c r="M660" s="15" t="inlineStr">
        <is>
          <t>Bobo (lead) · Mila, Leo, Bobo + narrator</t>
        </is>
      </c>
      <c r="N660" s="15" t="inlineStr">
        <is>
          <t>Life skill: Empathy</t>
        </is>
      </c>
      <c r="O660" s="15" t="inlineStr">
        <is>
          <t>Yes</t>
        </is>
      </c>
      <c r="P660" s="15" t="inlineStr">
        <is>
          <t>P3</t>
        </is>
      </c>
      <c r="Q660" s="15" t="inlineStr">
        <is>
          <t>Idea</t>
        </is>
      </c>
      <c r="R660" s="48">
        <f>INDEX('Start Here'!$B$10:$B$16,WEEKDAY(C660,2))</f>
        <v/>
      </c>
      <c r="S660" s="48">
        <f>MOD(R660+'Start Here'!$B$6/24,1)</f>
        <v/>
      </c>
      <c r="T660" s="15" t="n"/>
      <c r="U660" s="15" t="n"/>
      <c r="V660" s="15" t="n"/>
      <c r="W660" s="15" t="n"/>
      <c r="X660" s="20" t="n"/>
      <c r="Y660" s="15" t="n"/>
    </row>
    <row r="661">
      <c r="A661" s="15" t="n">
        <v>660</v>
      </c>
      <c r="B661" s="16">
        <f>INT((A661-1)/7)+1</f>
        <v/>
      </c>
      <c r="C661" s="47">
        <f>'Start Here'!$B$5+A661-1</f>
        <v/>
      </c>
      <c r="D661" s="16">
        <f>TEXT(C661,"ddd")</f>
        <v/>
      </c>
      <c r="E661" s="15" t="inlineStr">
        <is>
          <t>Math Tuesday</t>
        </is>
      </c>
      <c r="F661" s="21" t="inlineStr">
        <is>
          <t>🔢 Numbers &amp; Math</t>
        </is>
      </c>
      <c r="G661" s="15" t="n">
        <v>95</v>
      </c>
      <c r="H661" s="15" t="inlineStr">
        <is>
          <t>Days of the Week</t>
        </is>
      </c>
      <c r="I661" s="15" t="inlineStr">
        <is>
          <t>Days of the Week 🔢 | Learn Math for Kids | Tiny Sparks</t>
        </is>
      </c>
      <c r="J661" s="15" t="inlineStr">
        <is>
          <t>3–5</t>
        </is>
      </c>
      <c r="K661" s="15" t="inlineStr">
        <is>
          <t>Short 9:16</t>
        </is>
      </c>
      <c r="L661" s="15" t="inlineStr">
        <is>
          <t>45–60 s</t>
        </is>
      </c>
      <c r="M661" s="15" t="inlineStr">
        <is>
          <t>Bobo + Mila (counting fingers)</t>
        </is>
      </c>
      <c r="N661" s="15" t="inlineStr">
        <is>
          <t>Math: Days of the Week</t>
        </is>
      </c>
      <c r="O661" s="15" t="inlineStr">
        <is>
          <t>Yes</t>
        </is>
      </c>
      <c r="P661" s="15" t="inlineStr">
        <is>
          <t>P3</t>
        </is>
      </c>
      <c r="Q661" s="15" t="inlineStr">
        <is>
          <t>Idea</t>
        </is>
      </c>
      <c r="R661" s="48">
        <f>INDEX('Start Here'!$B$10:$B$16,WEEKDAY(C661,2))</f>
        <v/>
      </c>
      <c r="S661" s="48">
        <f>MOD(R661+'Start Here'!$B$6/24,1)</f>
        <v/>
      </c>
      <c r="T661" s="15" t="n"/>
      <c r="U661" s="15" t="n"/>
      <c r="V661" s="15" t="n"/>
      <c r="W661" s="15" t="n"/>
      <c r="X661" s="20" t="n"/>
      <c r="Y661" s="15" t="n"/>
    </row>
    <row r="662">
      <c r="A662" s="15" t="n">
        <v>661</v>
      </c>
      <c r="B662" s="16">
        <f>INT((A662-1)/7)+1</f>
        <v/>
      </c>
      <c r="C662" s="47">
        <f>'Start Here'!$B$5+A662-1</f>
        <v/>
      </c>
      <c r="D662" s="16">
        <f>TEXT(C662,"ddd")</f>
        <v/>
      </c>
      <c r="E662" s="15" t="inlineStr">
        <is>
          <t>Word Wednesday</t>
        </is>
      </c>
      <c r="F662" s="22" t="inlineStr">
        <is>
          <t>🔤 English/French Words</t>
        </is>
      </c>
      <c r="G662" s="15" t="n">
        <v>95</v>
      </c>
      <c r="H662" s="15" t="inlineStr">
        <is>
          <t>English/French Matching Game</t>
        </is>
      </c>
      <c r="I662" s="15" t="inlineStr">
        <is>
          <t>English/French Matching Game 🔤 | Kids Vocabulary | Tiny Sparks</t>
        </is>
      </c>
      <c r="J662" s="15" t="inlineStr">
        <is>
          <t>3–5</t>
        </is>
      </c>
      <c r="K662" s="15" t="inlineStr">
        <is>
          <t>Long 16:9</t>
        </is>
      </c>
      <c r="L662" s="15" t="inlineStr">
        <is>
          <t>4–8 min</t>
        </is>
      </c>
      <c r="M662" s="15" t="inlineStr">
        <is>
          <t>Mila + French narrator</t>
        </is>
      </c>
      <c r="N662" s="15" t="inlineStr">
        <is>
          <t>Vocabulary EN→FR: English/French Matching Game</t>
        </is>
      </c>
      <c r="O662" s="15" t="inlineStr">
        <is>
          <t>Yes</t>
        </is>
      </c>
      <c r="P662" s="15" t="inlineStr">
        <is>
          <t>P3</t>
        </is>
      </c>
      <c r="Q662" s="15" t="inlineStr">
        <is>
          <t>Idea</t>
        </is>
      </c>
      <c r="R662" s="48">
        <f>INDEX('Start Here'!$B$10:$B$16,WEEKDAY(C662,2))</f>
        <v/>
      </c>
      <c r="S662" s="48">
        <f>MOD(R662+'Start Here'!$B$6/24,1)</f>
        <v/>
      </c>
      <c r="T662" s="15" t="n"/>
      <c r="U662" s="15" t="n"/>
      <c r="V662" s="15" t="n"/>
      <c r="W662" s="15" t="n"/>
      <c r="X662" s="20" t="n"/>
      <c r="Y662" s="15" t="n"/>
    </row>
    <row r="663">
      <c r="A663" s="15" t="n">
        <v>662</v>
      </c>
      <c r="B663" s="16">
        <f>INT((A663-1)/7)+1</f>
        <v/>
      </c>
      <c r="C663" s="47">
        <f>'Start Here'!$B$5+A663-1</f>
        <v/>
      </c>
      <c r="D663" s="16">
        <f>TEXT(C663,"ddd")</f>
        <v/>
      </c>
      <c r="E663" s="15" t="inlineStr">
        <is>
          <t>Animal Thursday</t>
        </is>
      </c>
      <c r="F663" s="23" t="inlineStr">
        <is>
          <t>🦁 Animal Stories</t>
        </is>
      </c>
      <c r="G663" s="15" t="n">
        <v>95</v>
      </c>
      <c r="H663" s="15" t="inlineStr">
        <is>
          <t>The Case of the Missing Honey</t>
        </is>
      </c>
      <c r="I663" s="15" t="inlineStr">
        <is>
          <t>The Case of the Missing Honey 🦁 | Animal Stories for Kids | Tiny Sparks</t>
        </is>
      </c>
      <c r="J663" s="15" t="inlineStr">
        <is>
          <t>3–5</t>
        </is>
      </c>
      <c r="K663" s="15" t="inlineStr">
        <is>
          <t>Long 16:9 + Short teaser</t>
        </is>
      </c>
      <c r="L663" s="15" t="inlineStr">
        <is>
          <t>3–5 min (Short: 50 s)</t>
        </is>
      </c>
      <c r="M663" s="15" t="inlineStr">
        <is>
          <t>guest animal(s) + Bobo</t>
        </is>
      </c>
      <c r="N663" s="15" t="inlineStr">
        <is>
          <t>Story + 3 true animal facts; value: friendship</t>
        </is>
      </c>
      <c r="O663" s="15" t="inlineStr">
        <is>
          <t>Yes</t>
        </is>
      </c>
      <c r="P663" s="15" t="inlineStr">
        <is>
          <t>P3</t>
        </is>
      </c>
      <c r="Q663" s="15" t="inlineStr">
        <is>
          <t>Idea</t>
        </is>
      </c>
      <c r="R663" s="48">
        <f>INDEX('Start Here'!$B$10:$B$16,WEEKDAY(C663,2))</f>
        <v/>
      </c>
      <c r="S663" s="48">
        <f>MOD(R663+'Start Here'!$B$6/24,1)</f>
        <v/>
      </c>
      <c r="T663" s="15" t="n"/>
      <c r="U663" s="15" t="n"/>
      <c r="V663" s="15" t="n"/>
      <c r="W663" s="15" t="n"/>
      <c r="X663" s="20" t="n"/>
      <c r="Y663" s="15" t="n"/>
    </row>
    <row r="664">
      <c r="A664" s="15" t="n">
        <v>663</v>
      </c>
      <c r="B664" s="16">
        <f>INT((A664-1)/7)+1</f>
        <v/>
      </c>
      <c r="C664" s="47">
        <f>'Start Here'!$B$5+A664-1</f>
        <v/>
      </c>
      <c r="D664" s="16">
        <f>TEXT(C664,"ddd")</f>
        <v/>
      </c>
      <c r="E664" s="15" t="inlineStr">
        <is>
          <t>Science Friday</t>
        </is>
      </c>
      <c r="F664" s="24" t="inlineStr">
        <is>
          <t>🚀 Science for Kids</t>
        </is>
      </c>
      <c r="G664" s="15" t="n">
        <v>95</v>
      </c>
      <c r="H664" s="15" t="inlineStr">
        <is>
          <t>Amazing Science with Balloons</t>
        </is>
      </c>
      <c r="I664" s="15" t="inlineStr">
        <is>
          <t>Amazing Science with Balloons 🚀 | Science for Kids | Tiny Sparks</t>
        </is>
      </c>
      <c r="J664" s="15" t="inlineStr">
        <is>
          <t>6–8</t>
        </is>
      </c>
      <c r="K664" s="15" t="inlineStr">
        <is>
          <t>Short 9:16</t>
        </is>
      </c>
      <c r="L664" s="15" t="inlineStr">
        <is>
          <t>45–60 s</t>
        </is>
      </c>
      <c r="M664" s="15" t="inlineStr">
        <is>
          <t>Prof. Hoot + Leo (wrong guess) + Mila</t>
        </is>
      </c>
      <c r="N664" s="15" t="inlineStr">
        <is>
          <t>Answer simply: Amazing Science with Balloons</t>
        </is>
      </c>
      <c r="O664" s="15" t="inlineStr">
        <is>
          <t>Yes</t>
        </is>
      </c>
      <c r="P664" s="15" t="inlineStr">
        <is>
          <t>P3</t>
        </is>
      </c>
      <c r="Q664" s="15" t="inlineStr">
        <is>
          <t>Idea</t>
        </is>
      </c>
      <c r="R664" s="48">
        <f>INDEX('Start Here'!$B$10:$B$16,WEEKDAY(C664,2))</f>
        <v/>
      </c>
      <c r="S664" s="48">
        <f>MOD(R664+'Start Here'!$B$6/24,1)</f>
        <v/>
      </c>
      <c r="T664" s="15" t="n"/>
      <c r="U664" s="15" t="n"/>
      <c r="V664" s="15" t="n"/>
      <c r="W664" s="15" t="n"/>
      <c r="X664" s="20" t="n"/>
      <c r="Y664" s="15" t="n"/>
    </row>
    <row r="665">
      <c r="A665" s="15" t="n">
        <v>664</v>
      </c>
      <c r="B665" s="16">
        <f>INT((A665-1)/7)+1</f>
        <v/>
      </c>
      <c r="C665" s="47">
        <f>'Start Here'!$B$5+A665-1</f>
        <v/>
      </c>
      <c r="D665" s="16">
        <f>TEXT(C665,"ddd")</f>
        <v/>
      </c>
      <c r="E665" s="15" t="inlineStr">
        <is>
          <t>Puzzle Saturday</t>
        </is>
      </c>
      <c r="F665" s="25" t="inlineStr">
        <is>
          <t>🧩 Puzzles &amp; Problem-Solving</t>
        </is>
      </c>
      <c r="G665" s="15" t="n">
        <v>95</v>
      </c>
      <c r="H665" s="15" t="inlineStr">
        <is>
          <t>Beat the Clock Puzzle</t>
        </is>
      </c>
      <c r="I665" s="15" t="inlineStr">
        <is>
          <t>Beat the Clock Puzzle 🧩 | Brain Games for Kids | Tiny Sparks</t>
        </is>
      </c>
      <c r="J665" s="15" t="inlineStr">
        <is>
          <t>6–8</t>
        </is>
      </c>
      <c r="K665" s="15" t="inlineStr">
        <is>
          <t>Short 9:16</t>
        </is>
      </c>
      <c r="L665" s="15" t="inlineStr">
        <is>
          <t>45–60 s</t>
        </is>
      </c>
      <c r="M665" s="15" t="inlineStr">
        <is>
          <t>Prof. Hoot + Leo + score strip</t>
        </is>
      </c>
      <c r="N665" s="15" t="inlineStr">
        <is>
          <t>Thinking skill: reasoning</t>
        </is>
      </c>
      <c r="O665" s="15" t="inlineStr">
        <is>
          <t>Yes</t>
        </is>
      </c>
      <c r="P665" s="15" t="inlineStr">
        <is>
          <t>P3</t>
        </is>
      </c>
      <c r="Q665" s="15" t="inlineStr">
        <is>
          <t>Idea</t>
        </is>
      </c>
      <c r="R665" s="48">
        <f>INDEX('Start Here'!$B$10:$B$16,WEEKDAY(C665,2))</f>
        <v/>
      </c>
      <c r="S665" s="48">
        <f>MOD(R665+'Start Here'!$B$6/24,1)</f>
        <v/>
      </c>
      <c r="T665" s="15" t="n"/>
      <c r="U665" s="15" t="n"/>
      <c r="V665" s="15" t="n"/>
      <c r="W665" s="15" t="n"/>
      <c r="X665" s="20" t="n"/>
      <c r="Y665" s="15" t="n"/>
    </row>
    <row r="666">
      <c r="A666" s="15" t="n">
        <v>665</v>
      </c>
      <c r="B666" s="16">
        <f>INT((A666-1)/7)+1</f>
        <v/>
      </c>
      <c r="C666" s="47">
        <f>'Start Here'!$B$5+A666-1</f>
        <v/>
      </c>
      <c r="D666" s="16">
        <f>TEXT(C666,"ddd")</f>
        <v/>
      </c>
      <c r="E666" s="15" t="inlineStr">
        <is>
          <t>Song Sunday</t>
        </is>
      </c>
      <c r="F666" s="26" t="inlineStr">
        <is>
          <t>🎵 Educational Songs</t>
        </is>
      </c>
      <c r="G666" s="15" t="n">
        <v>95</v>
      </c>
      <c r="H666" s="15" t="inlineStr">
        <is>
          <t>Little Scientists Song</t>
        </is>
      </c>
      <c r="I666" s="15" t="inlineStr">
        <is>
          <t>Little Scientists Song 🎵 | Kids Songs | Tiny Sparks</t>
        </is>
      </c>
      <c r="J666" s="15" t="inlineStr">
        <is>
          <t>3–5</t>
        </is>
      </c>
      <c r="K666" s="15" t="inlineStr">
        <is>
          <t>Long 16:9 + Short cut</t>
        </is>
      </c>
      <c r="L666" s="15" t="inlineStr">
        <is>
          <t>2–3 min (Short: 45 s chorus)</t>
        </is>
      </c>
      <c r="M666" s="15" t="inlineStr">
        <is>
          <t>Mila sings, all dance</t>
        </is>
      </c>
      <c r="N666" s="15" t="inlineStr">
        <is>
          <t>Sing &amp; learn: Little Scientists</t>
        </is>
      </c>
      <c r="O666" s="15" t="inlineStr">
        <is>
          <t>Yes</t>
        </is>
      </c>
      <c r="P666" s="15" t="inlineStr">
        <is>
          <t>P3</t>
        </is>
      </c>
      <c r="Q666" s="15" t="inlineStr">
        <is>
          <t>Idea</t>
        </is>
      </c>
      <c r="R666" s="48">
        <f>INDEX('Start Here'!$B$10:$B$16,WEEKDAY(C666,2))</f>
        <v/>
      </c>
      <c r="S666" s="48">
        <f>MOD(R666+'Start Here'!$B$6/24,1)</f>
        <v/>
      </c>
      <c r="T666" s="15" t="n"/>
      <c r="U666" s="15" t="n"/>
      <c r="V666" s="15" t="n"/>
      <c r="W666" s="15" t="n"/>
      <c r="X666" s="20" t="n"/>
      <c r="Y666" s="15" t="n"/>
    </row>
    <row r="667">
      <c r="A667" s="15" t="n">
        <v>666</v>
      </c>
      <c r="B667" s="16">
        <f>INT((A667-1)/7)+1</f>
        <v/>
      </c>
      <c r="C667" s="47">
        <f>'Start Here'!$B$5+A667-1</f>
        <v/>
      </c>
      <c r="D667" s="16">
        <f>TEXT(C667,"ddd")</f>
        <v/>
      </c>
      <c r="E667" s="15" t="inlineStr">
        <is>
          <t>Story Monday</t>
        </is>
      </c>
      <c r="F667" s="27" t="inlineStr">
        <is>
          <t>📚 Moral Stories</t>
        </is>
      </c>
      <c r="G667" s="15" t="n">
        <v>48</v>
      </c>
      <c r="H667" s="15" t="inlineStr">
        <is>
          <t>The Children Who Saved the Park</t>
        </is>
      </c>
      <c r="I667" s="15" t="inlineStr">
        <is>
          <t>The Children Who Saved the Park 📚 | Moral Stories for Kids | Tiny Sparks</t>
        </is>
      </c>
      <c r="J667" s="15" t="inlineStr">
        <is>
          <t>3–5</t>
        </is>
      </c>
      <c r="K667" s="15" t="inlineStr">
        <is>
          <t>Long 16:9 + Short teaser</t>
        </is>
      </c>
      <c r="L667" s="15" t="inlineStr">
        <is>
          <t>3–5 min (Short: 50 s)</t>
        </is>
      </c>
      <c r="M667" s="15" t="inlineStr">
        <is>
          <t>narrator + guest animals / Mila &amp; Leo</t>
        </is>
      </c>
      <c r="N667" s="15" t="inlineStr">
        <is>
          <t>Value: caring for the planet</t>
        </is>
      </c>
      <c r="O667" s="15" t="inlineStr">
        <is>
          <t>Yes</t>
        </is>
      </c>
      <c r="P667" s="15" t="inlineStr">
        <is>
          <t>P3</t>
        </is>
      </c>
      <c r="Q667" s="15" t="inlineStr">
        <is>
          <t>Idea</t>
        </is>
      </c>
      <c r="R667" s="48">
        <f>INDEX('Start Here'!$B$10:$B$16,WEEKDAY(C667,2))</f>
        <v/>
      </c>
      <c r="S667" s="48">
        <f>MOD(R667+'Start Here'!$B$6/24,1)</f>
        <v/>
      </c>
      <c r="T667" s="15" t="n"/>
      <c r="U667" s="15" t="n"/>
      <c r="V667" s="15" t="n"/>
      <c r="W667" s="15" t="n"/>
      <c r="X667" s="20" t="n"/>
      <c r="Y667" s="15" t="n"/>
    </row>
    <row r="668">
      <c r="A668" s="15" t="n">
        <v>667</v>
      </c>
      <c r="B668" s="16">
        <f>INT((A668-1)/7)+1</f>
        <v/>
      </c>
      <c r="C668" s="47">
        <f>'Start Here'!$B$5+A668-1</f>
        <v/>
      </c>
      <c r="D668" s="16">
        <f>TEXT(C668,"ddd")</f>
        <v/>
      </c>
      <c r="E668" s="15" t="inlineStr">
        <is>
          <t>Math Tuesday</t>
        </is>
      </c>
      <c r="F668" s="21" t="inlineStr">
        <is>
          <t>🔢 Numbers &amp; Math</t>
        </is>
      </c>
      <c r="G668" s="15" t="n">
        <v>96</v>
      </c>
      <c r="H668" s="15" t="inlineStr">
        <is>
          <t>Months of the Year</t>
        </is>
      </c>
      <c r="I668" s="15" t="inlineStr">
        <is>
          <t>Months of the Year 🔢 | Learn Math for Kids | Tiny Sparks</t>
        </is>
      </c>
      <c r="J668" s="15" t="inlineStr">
        <is>
          <t>6–8</t>
        </is>
      </c>
      <c r="K668" s="15" t="inlineStr">
        <is>
          <t>Short 9:16</t>
        </is>
      </c>
      <c r="L668" s="15" t="inlineStr">
        <is>
          <t>45–60 s</t>
        </is>
      </c>
      <c r="M668" s="15" t="inlineStr">
        <is>
          <t>Bobo + Mila (counting fingers)</t>
        </is>
      </c>
      <c r="N668" s="15" t="inlineStr">
        <is>
          <t>Math: Months of the Year</t>
        </is>
      </c>
      <c r="O668" s="15" t="inlineStr">
        <is>
          <t>Yes</t>
        </is>
      </c>
      <c r="P668" s="15" t="inlineStr">
        <is>
          <t>P3</t>
        </is>
      </c>
      <c r="Q668" s="15" t="inlineStr">
        <is>
          <t>Idea</t>
        </is>
      </c>
      <c r="R668" s="48">
        <f>INDEX('Start Here'!$B$10:$B$16,WEEKDAY(C668,2))</f>
        <v/>
      </c>
      <c r="S668" s="48">
        <f>MOD(R668+'Start Here'!$B$6/24,1)</f>
        <v/>
      </c>
      <c r="T668" s="15" t="n"/>
      <c r="U668" s="15" t="n"/>
      <c r="V668" s="15" t="n"/>
      <c r="W668" s="15" t="n"/>
      <c r="X668" s="20" t="n"/>
      <c r="Y668" s="15" t="n"/>
    </row>
    <row r="669">
      <c r="A669" s="15" t="n">
        <v>668</v>
      </c>
      <c r="B669" s="16">
        <f>INT((A669-1)/7)+1</f>
        <v/>
      </c>
      <c r="C669" s="47">
        <f>'Start Here'!$B$5+A669-1</f>
        <v/>
      </c>
      <c r="D669" s="16">
        <f>TEXT(C669,"ddd")</f>
        <v/>
      </c>
      <c r="E669" s="15" t="inlineStr">
        <is>
          <t>Word Wednesday</t>
        </is>
      </c>
      <c r="F669" s="22" t="inlineStr">
        <is>
          <t>🔤 English/French Words</t>
        </is>
      </c>
      <c r="G669" s="15" t="n">
        <v>96</v>
      </c>
      <c r="H669" s="15" t="inlineStr">
        <is>
          <t>English/French Picture Quiz</t>
        </is>
      </c>
      <c r="I669" s="15" t="inlineStr">
        <is>
          <t>English/French Picture Quiz 🔤 | Kids Vocabulary | Tiny Sparks</t>
        </is>
      </c>
      <c r="J669" s="15" t="inlineStr">
        <is>
          <t>6–8</t>
        </is>
      </c>
      <c r="K669" s="15" t="inlineStr">
        <is>
          <t>Long 16:9</t>
        </is>
      </c>
      <c r="L669" s="15" t="inlineStr">
        <is>
          <t>4–8 min</t>
        </is>
      </c>
      <c r="M669" s="15" t="inlineStr">
        <is>
          <t>Mila + French narrator</t>
        </is>
      </c>
      <c r="N669" s="15" t="inlineStr">
        <is>
          <t>Vocabulary EN→FR: English/French Picture Quiz</t>
        </is>
      </c>
      <c r="O669" s="15" t="inlineStr">
        <is>
          <t>Yes</t>
        </is>
      </c>
      <c r="P669" s="15" t="inlineStr">
        <is>
          <t>P3</t>
        </is>
      </c>
      <c r="Q669" s="15" t="inlineStr">
        <is>
          <t>Idea</t>
        </is>
      </c>
      <c r="R669" s="48">
        <f>INDEX('Start Here'!$B$10:$B$16,WEEKDAY(C669,2))</f>
        <v/>
      </c>
      <c r="S669" s="48">
        <f>MOD(R669+'Start Here'!$B$6/24,1)</f>
        <v/>
      </c>
      <c r="T669" s="15" t="n"/>
      <c r="U669" s="15" t="n"/>
      <c r="V669" s="15" t="n"/>
      <c r="W669" s="15" t="n"/>
      <c r="X669" s="20" t="n"/>
      <c r="Y669" s="15" t="n"/>
    </row>
    <row r="670">
      <c r="A670" s="15" t="n">
        <v>669</v>
      </c>
      <c r="B670" s="16">
        <f>INT((A670-1)/7)+1</f>
        <v/>
      </c>
      <c r="C670" s="47">
        <f>'Start Here'!$B$5+A670-1</f>
        <v/>
      </c>
      <c r="D670" s="16">
        <f>TEXT(C670,"ddd")</f>
        <v/>
      </c>
      <c r="E670" s="15" t="inlineStr">
        <is>
          <t>Animal Thursday</t>
        </is>
      </c>
      <c r="F670" s="23" t="inlineStr">
        <is>
          <t>🦁 Animal Stories</t>
        </is>
      </c>
      <c r="G670" s="15" t="n">
        <v>96</v>
      </c>
      <c r="H670" s="15" t="inlineStr">
        <is>
          <t>The Mystery Footprints</t>
        </is>
      </c>
      <c r="I670" s="15" t="inlineStr">
        <is>
          <t>The Mystery Footprints 🦁 | Animal Stories for Kids | Tiny Sparks</t>
        </is>
      </c>
      <c r="J670" s="15" t="inlineStr">
        <is>
          <t>3–5</t>
        </is>
      </c>
      <c r="K670" s="15" t="inlineStr">
        <is>
          <t>Long 16:9 + Short teaser</t>
        </is>
      </c>
      <c r="L670" s="15" t="inlineStr">
        <is>
          <t>3–5 min (Short: 50 s)</t>
        </is>
      </c>
      <c r="M670" s="15" t="inlineStr">
        <is>
          <t>guest animal(s) + Bobo</t>
        </is>
      </c>
      <c r="N670" s="15" t="inlineStr">
        <is>
          <t>Story + 3 true animal facts; value: friendship</t>
        </is>
      </c>
      <c r="O670" s="15" t="inlineStr">
        <is>
          <t>Yes</t>
        </is>
      </c>
      <c r="P670" s="15" t="inlineStr">
        <is>
          <t>P3</t>
        </is>
      </c>
      <c r="Q670" s="15" t="inlineStr">
        <is>
          <t>Idea</t>
        </is>
      </c>
      <c r="R670" s="48">
        <f>INDEX('Start Here'!$B$10:$B$16,WEEKDAY(C670,2))</f>
        <v/>
      </c>
      <c r="S670" s="48">
        <f>MOD(R670+'Start Here'!$B$6/24,1)</f>
        <v/>
      </c>
      <c r="T670" s="15" t="n"/>
      <c r="U670" s="15" t="n"/>
      <c r="V670" s="15" t="n"/>
      <c r="W670" s="15" t="n"/>
      <c r="X670" s="20" t="n"/>
      <c r="Y670" s="15" t="n"/>
    </row>
    <row r="671">
      <c r="A671" s="15" t="n">
        <v>670</v>
      </c>
      <c r="B671" s="16">
        <f>INT((A671-1)/7)+1</f>
        <v/>
      </c>
      <c r="C671" s="47">
        <f>'Start Here'!$B$5+A671-1</f>
        <v/>
      </c>
      <c r="D671" s="16">
        <f>TEXT(C671,"ddd")</f>
        <v/>
      </c>
      <c r="E671" s="15" t="inlineStr">
        <is>
          <t>Science Friday</t>
        </is>
      </c>
      <c r="F671" s="24" t="inlineStr">
        <is>
          <t>🚀 Science for Kids</t>
        </is>
      </c>
      <c r="G671" s="15" t="n">
        <v>96</v>
      </c>
      <c r="H671" s="15" t="inlineStr">
        <is>
          <t>Amazing Science with Light</t>
        </is>
      </c>
      <c r="I671" s="15" t="inlineStr">
        <is>
          <t>Amazing Science with Light 🚀 | Science for Kids | Tiny Sparks</t>
        </is>
      </c>
      <c r="J671" s="15" t="inlineStr">
        <is>
          <t>6–8</t>
        </is>
      </c>
      <c r="K671" s="15" t="inlineStr">
        <is>
          <t>Short 9:16</t>
        </is>
      </c>
      <c r="L671" s="15" t="inlineStr">
        <is>
          <t>45–60 s</t>
        </is>
      </c>
      <c r="M671" s="15" t="inlineStr">
        <is>
          <t>Prof. Hoot + Leo (wrong guess) + Mila</t>
        </is>
      </c>
      <c r="N671" s="15" t="inlineStr">
        <is>
          <t>Answer simply: Amazing Science with Light</t>
        </is>
      </c>
      <c r="O671" s="15" t="inlineStr">
        <is>
          <t>Yes</t>
        </is>
      </c>
      <c r="P671" s="15" t="inlineStr">
        <is>
          <t>P3</t>
        </is>
      </c>
      <c r="Q671" s="15" t="inlineStr">
        <is>
          <t>Idea</t>
        </is>
      </c>
      <c r="R671" s="48">
        <f>INDEX('Start Here'!$B$10:$B$16,WEEKDAY(C671,2))</f>
        <v/>
      </c>
      <c r="S671" s="48">
        <f>MOD(R671+'Start Here'!$B$6/24,1)</f>
        <v/>
      </c>
      <c r="T671" s="15" t="n"/>
      <c r="U671" s="15" t="n"/>
      <c r="V671" s="15" t="n"/>
      <c r="W671" s="15" t="n"/>
      <c r="X671" s="20" t="n"/>
      <c r="Y671" s="15" t="n"/>
    </row>
    <row r="672">
      <c r="A672" s="15" t="n">
        <v>671</v>
      </c>
      <c r="B672" s="16">
        <f>INT((A672-1)/7)+1</f>
        <v/>
      </c>
      <c r="C672" s="47">
        <f>'Start Here'!$B$5+A672-1</f>
        <v/>
      </c>
      <c r="D672" s="16">
        <f>TEXT(C672,"ddd")</f>
        <v/>
      </c>
      <c r="E672" s="15" t="inlineStr">
        <is>
          <t>Puzzle Saturday</t>
        </is>
      </c>
      <c r="F672" s="25" t="inlineStr">
        <is>
          <t>🧩 Puzzles &amp; Problem-Solving</t>
        </is>
      </c>
      <c r="G672" s="15" t="n">
        <v>96</v>
      </c>
      <c r="H672" s="15" t="inlineStr">
        <is>
          <t>Easy Brain Training</t>
        </is>
      </c>
      <c r="I672" s="15" t="inlineStr">
        <is>
          <t>Easy Brain Training 🧩 | Brain Games for Kids | Tiny Sparks</t>
        </is>
      </c>
      <c r="J672" s="15" t="inlineStr">
        <is>
          <t>6–8</t>
        </is>
      </c>
      <c r="K672" s="15" t="inlineStr">
        <is>
          <t>Short 9:16</t>
        </is>
      </c>
      <c r="L672" s="15" t="inlineStr">
        <is>
          <t>45–60 s</t>
        </is>
      </c>
      <c r="M672" s="15" t="inlineStr">
        <is>
          <t>Prof. Hoot + Leo + score strip</t>
        </is>
      </c>
      <c r="N672" s="15" t="inlineStr">
        <is>
          <t>Thinking skill: reasoning</t>
        </is>
      </c>
      <c r="O672" s="15" t="inlineStr">
        <is>
          <t>Yes</t>
        </is>
      </c>
      <c r="P672" s="15" t="inlineStr">
        <is>
          <t>P3</t>
        </is>
      </c>
      <c r="Q672" s="15" t="inlineStr">
        <is>
          <t>Idea</t>
        </is>
      </c>
      <c r="R672" s="48">
        <f>INDEX('Start Here'!$B$10:$B$16,WEEKDAY(C672,2))</f>
        <v/>
      </c>
      <c r="S672" s="48">
        <f>MOD(R672+'Start Here'!$B$6/24,1)</f>
        <v/>
      </c>
      <c r="T672" s="15" t="n"/>
      <c r="U672" s="15" t="n"/>
      <c r="V672" s="15" t="n"/>
      <c r="W672" s="15" t="n"/>
      <c r="X672" s="20" t="n"/>
      <c r="Y672" s="15" t="n"/>
    </row>
    <row r="673">
      <c r="A673" s="15" t="n">
        <v>672</v>
      </c>
      <c r="B673" s="16">
        <f>INT((A673-1)/7)+1</f>
        <v/>
      </c>
      <c r="C673" s="47">
        <f>'Start Here'!$B$5+A673-1</f>
        <v/>
      </c>
      <c r="D673" s="16">
        <f>TEXT(C673,"ddd")</f>
        <v/>
      </c>
      <c r="E673" s="15" t="inlineStr">
        <is>
          <t>Song Sunday</t>
        </is>
      </c>
      <c r="F673" s="26" t="inlineStr">
        <is>
          <t>🎵 Educational Songs</t>
        </is>
      </c>
      <c r="G673" s="15" t="n">
        <v>96</v>
      </c>
      <c r="H673" s="15" t="inlineStr">
        <is>
          <t>Little Explorers Song</t>
        </is>
      </c>
      <c r="I673" s="15" t="inlineStr">
        <is>
          <t>Little Explorers Song 🎵 | Kids Songs | Tiny Sparks</t>
        </is>
      </c>
      <c r="J673" s="15" t="inlineStr">
        <is>
          <t>3–5</t>
        </is>
      </c>
      <c r="K673" s="15" t="inlineStr">
        <is>
          <t>Long 16:9 + Short cut</t>
        </is>
      </c>
      <c r="L673" s="15" t="inlineStr">
        <is>
          <t>2–3 min (Short: 45 s chorus)</t>
        </is>
      </c>
      <c r="M673" s="15" t="inlineStr">
        <is>
          <t>Mila sings, all dance</t>
        </is>
      </c>
      <c r="N673" s="15" t="inlineStr">
        <is>
          <t>Sing &amp; learn: Little Explorers</t>
        </is>
      </c>
      <c r="O673" s="15" t="inlineStr">
        <is>
          <t>Yes</t>
        </is>
      </c>
      <c r="P673" s="15" t="inlineStr">
        <is>
          <t>P3</t>
        </is>
      </c>
      <c r="Q673" s="15" t="inlineStr">
        <is>
          <t>Idea</t>
        </is>
      </c>
      <c r="R673" s="48">
        <f>INDEX('Start Here'!$B$10:$B$16,WEEKDAY(C673,2))</f>
        <v/>
      </c>
      <c r="S673" s="48">
        <f>MOD(R673+'Start Here'!$B$6/24,1)</f>
        <v/>
      </c>
      <c r="T673" s="15" t="n"/>
      <c r="U673" s="15" t="n"/>
      <c r="V673" s="15" t="n"/>
      <c r="W673" s="15" t="n"/>
      <c r="X673" s="20" t="n"/>
      <c r="Y673" s="15" t="n"/>
    </row>
    <row r="674">
      <c r="A674" s="15" t="n">
        <v>673</v>
      </c>
      <c r="B674" s="16">
        <f>INT((A674-1)/7)+1</f>
        <v/>
      </c>
      <c r="C674" s="47">
        <f>'Start Here'!$B$5+A674-1</f>
        <v/>
      </c>
      <c r="D674" s="16">
        <f>TEXT(C674,"ddd")</f>
        <v/>
      </c>
      <c r="E674" s="15" t="inlineStr">
        <is>
          <t>Story Monday</t>
        </is>
      </c>
      <c r="F674" s="18" t="inlineStr">
        <is>
          <t>🧠 Educational Stories</t>
        </is>
      </c>
      <c r="G674" s="15" t="n">
        <v>49</v>
      </c>
      <c r="H674" s="15" t="inlineStr">
        <is>
          <t>The Little Scientist's Experiment</t>
        </is>
      </c>
      <c r="I674" s="15" t="inlineStr">
        <is>
          <t>The Little Scientist's Experiment 🧠 | Kids Stories | Tiny Sparks</t>
        </is>
      </c>
      <c r="J674" s="15" t="inlineStr">
        <is>
          <t>6–8</t>
        </is>
      </c>
      <c r="K674" s="15" t="inlineStr">
        <is>
          <t>Long 16:9 + Short teaser</t>
        </is>
      </c>
      <c r="L674" s="15" t="inlineStr">
        <is>
          <t>3–5 min (Short: 50 s)</t>
        </is>
      </c>
      <c r="M674" s="15" t="inlineStr">
        <is>
          <t>Mila, Leo, Bobo + narrator</t>
        </is>
      </c>
      <c r="N674" s="15" t="inlineStr">
        <is>
          <t>Curiosity + problem solving</t>
        </is>
      </c>
      <c r="O674" s="15" t="inlineStr">
        <is>
          <t>Yes</t>
        </is>
      </c>
      <c r="P674" s="15" t="inlineStr">
        <is>
          <t>P3</t>
        </is>
      </c>
      <c r="Q674" s="15" t="inlineStr">
        <is>
          <t>Idea</t>
        </is>
      </c>
      <c r="R674" s="48">
        <f>INDEX('Start Here'!$B$10:$B$16,WEEKDAY(C674,2))</f>
        <v/>
      </c>
      <c r="S674" s="48">
        <f>MOD(R674+'Start Here'!$B$6/24,1)</f>
        <v/>
      </c>
      <c r="T674" s="15" t="n"/>
      <c r="U674" s="15" t="n"/>
      <c r="V674" s="15" t="n"/>
      <c r="W674" s="15" t="n"/>
      <c r="X674" s="20" t="n"/>
      <c r="Y674" s="15" t="n"/>
    </row>
    <row r="675">
      <c r="A675" s="15" t="n">
        <v>674</v>
      </c>
      <c r="B675" s="16">
        <f>INT((A675-1)/7)+1</f>
        <v/>
      </c>
      <c r="C675" s="47">
        <f>'Start Here'!$B$5+A675-1</f>
        <v/>
      </c>
      <c r="D675" s="16">
        <f>TEXT(C675,"ddd")</f>
        <v/>
      </c>
      <c r="E675" s="15" t="inlineStr">
        <is>
          <t>Math Tuesday</t>
        </is>
      </c>
      <c r="F675" s="21" t="inlineStr">
        <is>
          <t>🔢 Numbers &amp; Math</t>
        </is>
      </c>
      <c r="G675" s="15" t="n">
        <v>97</v>
      </c>
      <c r="H675" s="15" t="inlineStr">
        <is>
          <t>Simple Money Math</t>
        </is>
      </c>
      <c r="I675" s="15" t="inlineStr">
        <is>
          <t>Simple Money Math 🔢 | Learn Math for Kids | Tiny Sparks</t>
        </is>
      </c>
      <c r="J675" s="15" t="inlineStr">
        <is>
          <t>6–8</t>
        </is>
      </c>
      <c r="K675" s="15" t="inlineStr">
        <is>
          <t>Short 9:16</t>
        </is>
      </c>
      <c r="L675" s="15" t="inlineStr">
        <is>
          <t>45–60 s</t>
        </is>
      </c>
      <c r="M675" s="15" t="inlineStr">
        <is>
          <t>Bobo + Mila (counting fingers)</t>
        </is>
      </c>
      <c r="N675" s="15" t="inlineStr">
        <is>
          <t>Math: Simple Money Math</t>
        </is>
      </c>
      <c r="O675" s="15" t="inlineStr">
        <is>
          <t>Yes</t>
        </is>
      </c>
      <c r="P675" s="15" t="inlineStr">
        <is>
          <t>P3</t>
        </is>
      </c>
      <c r="Q675" s="15" t="inlineStr">
        <is>
          <t>Idea</t>
        </is>
      </c>
      <c r="R675" s="48">
        <f>INDEX('Start Here'!$B$10:$B$16,WEEKDAY(C675,2))</f>
        <v/>
      </c>
      <c r="S675" s="48">
        <f>MOD(R675+'Start Here'!$B$6/24,1)</f>
        <v/>
      </c>
      <c r="T675" s="15" t="n"/>
      <c r="U675" s="15" t="n"/>
      <c r="V675" s="15" t="n"/>
      <c r="W675" s="15" t="n"/>
      <c r="X675" s="20" t="n"/>
      <c r="Y675" s="15" t="n"/>
    </row>
    <row r="676">
      <c r="A676" s="15" t="n">
        <v>675</v>
      </c>
      <c r="B676" s="16">
        <f>INT((A676-1)/7)+1</f>
        <v/>
      </c>
      <c r="C676" s="47">
        <f>'Start Here'!$B$5+A676-1</f>
        <v/>
      </c>
      <c r="D676" s="16">
        <f>TEXT(C676,"ddd")</f>
        <v/>
      </c>
      <c r="E676" s="15" t="inlineStr">
        <is>
          <t>Word Wednesday</t>
        </is>
      </c>
      <c r="F676" s="22" t="inlineStr">
        <is>
          <t>🔤 English/French Words</t>
        </is>
      </c>
      <c r="G676" s="15" t="n">
        <v>97</v>
      </c>
      <c r="H676" s="15" t="inlineStr">
        <is>
          <t>Learn 20 Words Through a Story</t>
        </is>
      </c>
      <c r="I676" s="15" t="inlineStr">
        <is>
          <t>Learn 20 Words Through a Story 🔤 | Kids Vocabulary | Tiny Sparks</t>
        </is>
      </c>
      <c r="J676" s="15" t="inlineStr">
        <is>
          <t>3–5</t>
        </is>
      </c>
      <c r="K676" s="15" t="inlineStr">
        <is>
          <t>Short 9:16</t>
        </is>
      </c>
      <c r="L676" s="15" t="inlineStr">
        <is>
          <t>45–60 s</t>
        </is>
      </c>
      <c r="M676" s="15" t="inlineStr">
        <is>
          <t>Mila + French narrator</t>
        </is>
      </c>
      <c r="N676" s="15" t="inlineStr">
        <is>
          <t>Vocabulary EN→FR: Learn 20 Words Through a Story</t>
        </is>
      </c>
      <c r="O676" s="15" t="inlineStr">
        <is>
          <t>Yes</t>
        </is>
      </c>
      <c r="P676" s="15" t="inlineStr">
        <is>
          <t>P3</t>
        </is>
      </c>
      <c r="Q676" s="15" t="inlineStr">
        <is>
          <t>Idea</t>
        </is>
      </c>
      <c r="R676" s="48">
        <f>INDEX('Start Here'!$B$10:$B$16,WEEKDAY(C676,2))</f>
        <v/>
      </c>
      <c r="S676" s="48">
        <f>MOD(R676+'Start Here'!$B$6/24,1)</f>
        <v/>
      </c>
      <c r="T676" s="15" t="n"/>
      <c r="U676" s="15" t="n"/>
      <c r="V676" s="15" t="n"/>
      <c r="W676" s="15" t="n"/>
      <c r="X676" s="20" t="n"/>
      <c r="Y676" s="15" t="n"/>
    </row>
    <row r="677">
      <c r="A677" s="15" t="n">
        <v>676</v>
      </c>
      <c r="B677" s="16">
        <f>INT((A677-1)/7)+1</f>
        <v/>
      </c>
      <c r="C677" s="47">
        <f>'Start Here'!$B$5+A677-1</f>
        <v/>
      </c>
      <c r="D677" s="16">
        <f>TEXT(C677,"ddd")</f>
        <v/>
      </c>
      <c r="E677" s="15" t="inlineStr">
        <is>
          <t>Animal Thursday</t>
        </is>
      </c>
      <c r="F677" s="23" t="inlineStr">
        <is>
          <t>🦁 Animal Stories</t>
        </is>
      </c>
      <c r="G677" s="15" t="n">
        <v>97</v>
      </c>
      <c r="H677" s="15" t="inlineStr">
        <is>
          <t>The Secret Cave</t>
        </is>
      </c>
      <c r="I677" s="15" t="inlineStr">
        <is>
          <t>The Secret Cave 🦁 | Animal Stories for Kids | Tiny Sparks</t>
        </is>
      </c>
      <c r="J677" s="15" t="inlineStr">
        <is>
          <t>3–5</t>
        </is>
      </c>
      <c r="K677" s="15" t="inlineStr">
        <is>
          <t>Long 16:9 + Short teaser</t>
        </is>
      </c>
      <c r="L677" s="15" t="inlineStr">
        <is>
          <t>3–5 min (Short: 50 s)</t>
        </is>
      </c>
      <c r="M677" s="15" t="inlineStr">
        <is>
          <t>guest animal(s) + Bobo</t>
        </is>
      </c>
      <c r="N677" s="15" t="inlineStr">
        <is>
          <t>Story + 3 true animal facts; value: friendship</t>
        </is>
      </c>
      <c r="O677" s="15" t="inlineStr">
        <is>
          <t>Yes</t>
        </is>
      </c>
      <c r="P677" s="15" t="inlineStr">
        <is>
          <t>P3</t>
        </is>
      </c>
      <c r="Q677" s="15" t="inlineStr">
        <is>
          <t>Idea</t>
        </is>
      </c>
      <c r="R677" s="48">
        <f>INDEX('Start Here'!$B$10:$B$16,WEEKDAY(C677,2))</f>
        <v/>
      </c>
      <c r="S677" s="48">
        <f>MOD(R677+'Start Here'!$B$6/24,1)</f>
        <v/>
      </c>
      <c r="T677" s="15" t="n"/>
      <c r="U677" s="15" t="n"/>
      <c r="V677" s="15" t="n"/>
      <c r="W677" s="15" t="n"/>
      <c r="X677" s="20" t="n"/>
      <c r="Y677" s="15" t="n"/>
    </row>
    <row r="678">
      <c r="A678" s="15" t="n">
        <v>677</v>
      </c>
      <c r="B678" s="16">
        <f>INT((A678-1)/7)+1</f>
        <v/>
      </c>
      <c r="C678" s="47">
        <f>'Start Here'!$B$5+A678-1</f>
        <v/>
      </c>
      <c r="D678" s="16">
        <f>TEXT(C678,"ddd")</f>
        <v/>
      </c>
      <c r="E678" s="15" t="inlineStr">
        <is>
          <t>Science Friday</t>
        </is>
      </c>
      <c r="F678" s="24" t="inlineStr">
        <is>
          <t>🚀 Science for Kids</t>
        </is>
      </c>
      <c r="G678" s="15" t="n">
        <v>97</v>
      </c>
      <c r="H678" s="15" t="inlineStr">
        <is>
          <t>Amazing Science with Plants</t>
        </is>
      </c>
      <c r="I678" s="15" t="inlineStr">
        <is>
          <t>Amazing Science with Plants 🚀 | Science for Kids | Tiny Sparks</t>
        </is>
      </c>
      <c r="J678" s="15" t="inlineStr">
        <is>
          <t>6–8</t>
        </is>
      </c>
      <c r="K678" s="15" t="inlineStr">
        <is>
          <t>Short 9:16</t>
        </is>
      </c>
      <c r="L678" s="15" t="inlineStr">
        <is>
          <t>45–60 s</t>
        </is>
      </c>
      <c r="M678" s="15" t="inlineStr">
        <is>
          <t>Prof. Hoot + Leo (wrong guess) + Mila</t>
        </is>
      </c>
      <c r="N678" s="15" t="inlineStr">
        <is>
          <t>Answer simply: Amazing Science with Plants</t>
        </is>
      </c>
      <c r="O678" s="15" t="inlineStr">
        <is>
          <t>Yes</t>
        </is>
      </c>
      <c r="P678" s="15" t="inlineStr">
        <is>
          <t>P3</t>
        </is>
      </c>
      <c r="Q678" s="15" t="inlineStr">
        <is>
          <t>Idea</t>
        </is>
      </c>
      <c r="R678" s="48">
        <f>INDEX('Start Here'!$B$10:$B$16,WEEKDAY(C678,2))</f>
        <v/>
      </c>
      <c r="S678" s="48">
        <f>MOD(R678+'Start Here'!$B$6/24,1)</f>
        <v/>
      </c>
      <c r="T678" s="15" t="n"/>
      <c r="U678" s="15" t="n"/>
      <c r="V678" s="15" t="n"/>
      <c r="W678" s="15" t="n"/>
      <c r="X678" s="20" t="n"/>
      <c r="Y678" s="15" t="n"/>
    </row>
    <row r="679">
      <c r="A679" s="15" t="n">
        <v>678</v>
      </c>
      <c r="B679" s="16">
        <f>INT((A679-1)/7)+1</f>
        <v/>
      </c>
      <c r="C679" s="47">
        <f>'Start Here'!$B$5+A679-1</f>
        <v/>
      </c>
      <c r="D679" s="16">
        <f>TEXT(C679,"ddd")</f>
        <v/>
      </c>
      <c r="E679" s="15" t="inlineStr">
        <is>
          <t>Puzzle Saturday</t>
        </is>
      </c>
      <c r="F679" s="25" t="inlineStr">
        <is>
          <t>🧩 Puzzles &amp; Problem-Solving</t>
        </is>
      </c>
      <c r="G679" s="15" t="n">
        <v>97</v>
      </c>
      <c r="H679" s="15" t="inlineStr">
        <is>
          <t>Super Kids Brain Challenge</t>
        </is>
      </c>
      <c r="I679" s="15" t="inlineStr">
        <is>
          <t>Super Kids Brain Challenge 🧩 | Brain Games for Kids | Tiny Sparks</t>
        </is>
      </c>
      <c r="J679" s="15" t="inlineStr">
        <is>
          <t>6–8</t>
        </is>
      </c>
      <c r="K679" s="15" t="inlineStr">
        <is>
          <t>Long 16:9</t>
        </is>
      </c>
      <c r="L679" s="15" t="inlineStr">
        <is>
          <t>4–8 min</t>
        </is>
      </c>
      <c r="M679" s="15" t="inlineStr">
        <is>
          <t>Prof. Hoot + Leo + score strip</t>
        </is>
      </c>
      <c r="N679" s="15" t="inlineStr">
        <is>
          <t>Thinking skill: reasoning</t>
        </is>
      </c>
      <c r="O679" s="15" t="inlineStr">
        <is>
          <t>Yes</t>
        </is>
      </c>
      <c r="P679" s="15" t="inlineStr">
        <is>
          <t>P3</t>
        </is>
      </c>
      <c r="Q679" s="15" t="inlineStr">
        <is>
          <t>Idea</t>
        </is>
      </c>
      <c r="R679" s="48">
        <f>INDEX('Start Here'!$B$10:$B$16,WEEKDAY(C679,2))</f>
        <v/>
      </c>
      <c r="S679" s="48">
        <f>MOD(R679+'Start Here'!$B$6/24,1)</f>
        <v/>
      </c>
      <c r="T679" s="15" t="n"/>
      <c r="U679" s="15" t="n"/>
      <c r="V679" s="15" t="n"/>
      <c r="W679" s="15" t="n"/>
      <c r="X679" s="20" t="n"/>
      <c r="Y679" s="15" t="n"/>
    </row>
    <row r="680">
      <c r="A680" s="15" t="n">
        <v>679</v>
      </c>
      <c r="B680" s="16">
        <f>INT((A680-1)/7)+1</f>
        <v/>
      </c>
      <c r="C680" s="47">
        <f>'Start Here'!$B$5+A680-1</f>
        <v/>
      </c>
      <c r="D680" s="16">
        <f>TEXT(C680,"ddd")</f>
        <v/>
      </c>
      <c r="E680" s="15" t="inlineStr">
        <is>
          <t>Song Sunday</t>
        </is>
      </c>
      <c r="F680" s="26" t="inlineStr">
        <is>
          <t>🎵 Educational Songs</t>
        </is>
      </c>
      <c r="G680" s="15" t="n">
        <v>97</v>
      </c>
      <c r="H680" s="15" t="inlineStr">
        <is>
          <t>Little Inventors Song</t>
        </is>
      </c>
      <c r="I680" s="15" t="inlineStr">
        <is>
          <t>Little Inventors Song 🎵 | Kids Songs | Tiny Sparks</t>
        </is>
      </c>
      <c r="J680" s="15" t="inlineStr">
        <is>
          <t>6–8</t>
        </is>
      </c>
      <c r="K680" s="15" t="inlineStr">
        <is>
          <t>Long 16:9 + Short cut</t>
        </is>
      </c>
      <c r="L680" s="15" t="inlineStr">
        <is>
          <t>2–3 min (Short: 45 s chorus)</t>
        </is>
      </c>
      <c r="M680" s="15" t="inlineStr">
        <is>
          <t>Mila sings, all dance</t>
        </is>
      </c>
      <c r="N680" s="15" t="inlineStr">
        <is>
          <t>Sing &amp; learn: Little Inventors</t>
        </is>
      </c>
      <c r="O680" s="15" t="inlineStr">
        <is>
          <t>Yes</t>
        </is>
      </c>
      <c r="P680" s="15" t="inlineStr">
        <is>
          <t>P3</t>
        </is>
      </c>
      <c r="Q680" s="15" t="inlineStr">
        <is>
          <t>Idea</t>
        </is>
      </c>
      <c r="R680" s="48">
        <f>INDEX('Start Here'!$B$10:$B$16,WEEKDAY(C680,2))</f>
        <v/>
      </c>
      <c r="S680" s="48">
        <f>MOD(R680+'Start Here'!$B$6/24,1)</f>
        <v/>
      </c>
      <c r="T680" s="15" t="n"/>
      <c r="U680" s="15" t="n"/>
      <c r="V680" s="15" t="n"/>
      <c r="W680" s="15" t="n"/>
      <c r="X680" s="20" t="n"/>
      <c r="Y680" s="15" t="n"/>
    </row>
    <row r="681">
      <c r="A681" s="15" t="n">
        <v>680</v>
      </c>
      <c r="B681" s="16">
        <f>INT((A681-1)/7)+1</f>
        <v/>
      </c>
      <c r="C681" s="47">
        <f>'Start Here'!$B$5+A681-1</f>
        <v/>
      </c>
      <c r="D681" s="16">
        <f>TEXT(C681,"ddd")</f>
        <v/>
      </c>
      <c r="E681" s="15" t="inlineStr">
        <is>
          <t>Story Monday</t>
        </is>
      </c>
      <c r="F681" s="27" t="inlineStr">
        <is>
          <t>📚 Moral Stories</t>
        </is>
      </c>
      <c r="G681" s="15" t="n">
        <v>49</v>
      </c>
      <c r="H681" s="15" t="inlineStr">
        <is>
          <t>The Magic Seed</t>
        </is>
      </c>
      <c r="I681" s="15" t="inlineStr">
        <is>
          <t>The Magic Seed 📚 | Moral Stories for Kids | Tiny Sparks</t>
        </is>
      </c>
      <c r="J681" s="15" t="inlineStr">
        <is>
          <t>3–5</t>
        </is>
      </c>
      <c r="K681" s="15" t="inlineStr">
        <is>
          <t>Long 16:9 + Short teaser</t>
        </is>
      </c>
      <c r="L681" s="15" t="inlineStr">
        <is>
          <t>3–5 min (Short: 50 s)</t>
        </is>
      </c>
      <c r="M681" s="15" t="inlineStr">
        <is>
          <t>narrator + guest animals / Mila &amp; Leo</t>
        </is>
      </c>
      <c r="N681" s="15" t="inlineStr">
        <is>
          <t>Value: caring for the planet</t>
        </is>
      </c>
      <c r="O681" s="15" t="inlineStr">
        <is>
          <t>Yes</t>
        </is>
      </c>
      <c r="P681" s="15" t="inlineStr">
        <is>
          <t>P3</t>
        </is>
      </c>
      <c r="Q681" s="15" t="inlineStr">
        <is>
          <t>Idea</t>
        </is>
      </c>
      <c r="R681" s="48">
        <f>INDEX('Start Here'!$B$10:$B$16,WEEKDAY(C681,2))</f>
        <v/>
      </c>
      <c r="S681" s="48">
        <f>MOD(R681+'Start Here'!$B$6/24,1)</f>
        <v/>
      </c>
      <c r="T681" s="15" t="n"/>
      <c r="U681" s="15" t="n"/>
      <c r="V681" s="15" t="n"/>
      <c r="W681" s="15" t="n"/>
      <c r="X681" s="20" t="n"/>
      <c r="Y681" s="15" t="n"/>
    </row>
    <row r="682">
      <c r="A682" s="15" t="n">
        <v>681</v>
      </c>
      <c r="B682" s="16">
        <f>INT((A682-1)/7)+1</f>
        <v/>
      </c>
      <c r="C682" s="47">
        <f>'Start Here'!$B$5+A682-1</f>
        <v/>
      </c>
      <c r="D682" s="16">
        <f>TEXT(C682,"ddd")</f>
        <v/>
      </c>
      <c r="E682" s="15" t="inlineStr">
        <is>
          <t>Math Tuesday</t>
        </is>
      </c>
      <c r="F682" s="21" t="inlineStr">
        <is>
          <t>🔢 Numbers &amp; Math</t>
        </is>
      </c>
      <c r="G682" s="15" t="n">
        <v>98</v>
      </c>
      <c r="H682" s="15" t="inlineStr">
        <is>
          <t>Math Detective Mystery</t>
        </is>
      </c>
      <c r="I682" s="15" t="inlineStr">
        <is>
          <t>Math Detective Mystery 🔢 | Learn Math for Kids | Tiny Sparks</t>
        </is>
      </c>
      <c r="J682" s="15" t="inlineStr">
        <is>
          <t>6–8</t>
        </is>
      </c>
      <c r="K682" s="15" t="inlineStr">
        <is>
          <t>Long 16:9</t>
        </is>
      </c>
      <c r="L682" s="15" t="inlineStr">
        <is>
          <t>4–8 min</t>
        </is>
      </c>
      <c r="M682" s="15" t="inlineStr">
        <is>
          <t>Bobo + Mila (counting fingers)</t>
        </is>
      </c>
      <c r="N682" s="15" t="inlineStr">
        <is>
          <t>Math: Math Detective Mystery</t>
        </is>
      </c>
      <c r="O682" s="15" t="inlineStr">
        <is>
          <t>Yes</t>
        </is>
      </c>
      <c r="P682" s="15" t="inlineStr">
        <is>
          <t>P3</t>
        </is>
      </c>
      <c r="Q682" s="15" t="inlineStr">
        <is>
          <t>Idea</t>
        </is>
      </c>
      <c r="R682" s="48">
        <f>INDEX('Start Here'!$B$10:$B$16,WEEKDAY(C682,2))</f>
        <v/>
      </c>
      <c r="S682" s="48">
        <f>MOD(R682+'Start Here'!$B$6/24,1)</f>
        <v/>
      </c>
      <c r="T682" s="15" t="n"/>
      <c r="U682" s="15" t="n"/>
      <c r="V682" s="15" t="n"/>
      <c r="W682" s="15" t="n"/>
      <c r="X682" s="20" t="n"/>
      <c r="Y682" s="15" t="n"/>
    </row>
    <row r="683">
      <c r="A683" s="15" t="n">
        <v>682</v>
      </c>
      <c r="B683" s="16">
        <f>INT((A683-1)/7)+1</f>
        <v/>
      </c>
      <c r="C683" s="47">
        <f>'Start Here'!$B$5+A683-1</f>
        <v/>
      </c>
      <c r="D683" s="16">
        <f>TEXT(C683,"ddd")</f>
        <v/>
      </c>
      <c r="E683" s="15" t="inlineStr">
        <is>
          <t>Word Wednesday</t>
        </is>
      </c>
      <c r="F683" s="22" t="inlineStr">
        <is>
          <t>🔤 English/French Words</t>
        </is>
      </c>
      <c r="G683" s="15" t="n">
        <v>98</v>
      </c>
      <c r="H683" s="15" t="inlineStr">
        <is>
          <t>English/French Animal Adventure</t>
        </is>
      </c>
      <c r="I683" s="15" t="inlineStr">
        <is>
          <t>English/French Animal Adventure 🔤 | Kids Vocabulary | Tiny Sparks</t>
        </is>
      </c>
      <c r="J683" s="15" t="inlineStr">
        <is>
          <t>3–5</t>
        </is>
      </c>
      <c r="K683" s="15" t="inlineStr">
        <is>
          <t>Long 16:9</t>
        </is>
      </c>
      <c r="L683" s="15" t="inlineStr">
        <is>
          <t>4–8 min</t>
        </is>
      </c>
      <c r="M683" s="15" t="inlineStr">
        <is>
          <t>Mila + French narrator</t>
        </is>
      </c>
      <c r="N683" s="15" t="inlineStr">
        <is>
          <t>Vocabulary EN→FR: English/French Animal Adventure</t>
        </is>
      </c>
      <c r="O683" s="15" t="inlineStr">
        <is>
          <t>Yes</t>
        </is>
      </c>
      <c r="P683" s="15" t="inlineStr">
        <is>
          <t>P3</t>
        </is>
      </c>
      <c r="Q683" s="15" t="inlineStr">
        <is>
          <t>Idea</t>
        </is>
      </c>
      <c r="R683" s="48">
        <f>INDEX('Start Here'!$B$10:$B$16,WEEKDAY(C683,2))</f>
        <v/>
      </c>
      <c r="S683" s="48">
        <f>MOD(R683+'Start Here'!$B$6/24,1)</f>
        <v/>
      </c>
      <c r="T683" s="15" t="n"/>
      <c r="U683" s="15" t="n"/>
      <c r="V683" s="15" t="n"/>
      <c r="W683" s="15" t="n"/>
      <c r="X683" s="20" t="n"/>
      <c r="Y683" s="15" t="n"/>
    </row>
    <row r="684">
      <c r="A684" s="15" t="n">
        <v>683</v>
      </c>
      <c r="B684" s="16">
        <f>INT((A684-1)/7)+1</f>
        <v/>
      </c>
      <c r="C684" s="47">
        <f>'Start Here'!$B$5+A684-1</f>
        <v/>
      </c>
      <c r="D684" s="16">
        <f>TEXT(C684,"ddd")</f>
        <v/>
      </c>
      <c r="E684" s="15" t="inlineStr">
        <is>
          <t>Animal Thursday</t>
        </is>
      </c>
      <c r="F684" s="23" t="inlineStr">
        <is>
          <t>🦁 Animal Stories</t>
        </is>
      </c>
      <c r="G684" s="15" t="n">
        <v>98</v>
      </c>
      <c r="H684" s="15" t="inlineStr">
        <is>
          <t>The Lost Baby Dinosaur</t>
        </is>
      </c>
      <c r="I684" s="15" t="inlineStr">
        <is>
          <t>The Lost Baby Dinosaur 🦁 | Animal Stories for Kids | Tiny Sparks</t>
        </is>
      </c>
      <c r="J684" s="15" t="inlineStr">
        <is>
          <t>6–8</t>
        </is>
      </c>
      <c r="K684" s="15" t="inlineStr">
        <is>
          <t>Long 16:9 + Short teaser</t>
        </is>
      </c>
      <c r="L684" s="15" t="inlineStr">
        <is>
          <t>3–5 min (Short: 50 s)</t>
        </is>
      </c>
      <c r="M684" s="15" t="inlineStr">
        <is>
          <t>guest animal(s) + Bobo</t>
        </is>
      </c>
      <c r="N684" s="15" t="inlineStr">
        <is>
          <t>Story + 3 true animal facts; value: friendship</t>
        </is>
      </c>
      <c r="O684" s="15" t="inlineStr">
        <is>
          <t>Build first: dinosaur</t>
        </is>
      </c>
      <c r="P684" s="15" t="inlineStr">
        <is>
          <t>P3</t>
        </is>
      </c>
      <c r="Q684" s="15" t="inlineStr">
        <is>
          <t>Idea</t>
        </is>
      </c>
      <c r="R684" s="48">
        <f>INDEX('Start Here'!$B$10:$B$16,WEEKDAY(C684,2))</f>
        <v/>
      </c>
      <c r="S684" s="48">
        <f>MOD(R684+'Start Here'!$B$6/24,1)</f>
        <v/>
      </c>
      <c r="T684" s="15" t="n"/>
      <c r="U684" s="15" t="n"/>
      <c r="V684" s="15" t="n"/>
      <c r="W684" s="15" t="n"/>
      <c r="X684" s="20" t="n"/>
      <c r="Y684" s="15" t="n"/>
    </row>
    <row r="685">
      <c r="A685" s="15" t="n">
        <v>684</v>
      </c>
      <c r="B685" s="16">
        <f>INT((A685-1)/7)+1</f>
        <v/>
      </c>
      <c r="C685" s="47">
        <f>'Start Here'!$B$5+A685-1</f>
        <v/>
      </c>
      <c r="D685" s="16">
        <f>TEXT(C685,"ddd")</f>
        <v/>
      </c>
      <c r="E685" s="15" t="inlineStr">
        <is>
          <t>Science Friday</t>
        </is>
      </c>
      <c r="F685" s="24" t="inlineStr">
        <is>
          <t>🚀 Science for Kids</t>
        </is>
      </c>
      <c r="G685" s="15" t="n">
        <v>98</v>
      </c>
      <c r="H685" s="15" t="inlineStr">
        <is>
          <t>10 Amazing Science Facts</t>
        </is>
      </c>
      <c r="I685" s="15" t="inlineStr">
        <is>
          <t>10 Amazing Science Facts 🚀 | Science for Kids | Tiny Sparks</t>
        </is>
      </c>
      <c r="J685" s="15" t="inlineStr">
        <is>
          <t>6–8</t>
        </is>
      </c>
      <c r="K685" s="15" t="inlineStr">
        <is>
          <t>Long 16:9</t>
        </is>
      </c>
      <c r="L685" s="15" t="inlineStr">
        <is>
          <t>4–8 min</t>
        </is>
      </c>
      <c r="M685" s="15" t="inlineStr">
        <is>
          <t>Prof. Hoot + Leo (wrong guess) + Mila</t>
        </is>
      </c>
      <c r="N685" s="15" t="inlineStr">
        <is>
          <t>Answer simply: 10 Amazing Science Facts</t>
        </is>
      </c>
      <c r="O685" s="15" t="inlineStr">
        <is>
          <t>Yes</t>
        </is>
      </c>
      <c r="P685" s="15" t="inlineStr">
        <is>
          <t>P3</t>
        </is>
      </c>
      <c r="Q685" s="15" t="inlineStr">
        <is>
          <t>Idea</t>
        </is>
      </c>
      <c r="R685" s="48">
        <f>INDEX('Start Here'!$B$10:$B$16,WEEKDAY(C685,2))</f>
        <v/>
      </c>
      <c r="S685" s="48">
        <f>MOD(R685+'Start Here'!$B$6/24,1)</f>
        <v/>
      </c>
      <c r="T685" s="15" t="n"/>
      <c r="U685" s="15" t="n"/>
      <c r="V685" s="15" t="n"/>
      <c r="W685" s="15" t="n"/>
      <c r="X685" s="20" t="n"/>
      <c r="Y685" s="15" t="n"/>
    </row>
    <row r="686">
      <c r="A686" s="15" t="n">
        <v>685</v>
      </c>
      <c r="B686" s="16">
        <f>INT((A686-1)/7)+1</f>
        <v/>
      </c>
      <c r="C686" s="47">
        <f>'Start Here'!$B$5+A686-1</f>
        <v/>
      </c>
      <c r="D686" s="16">
        <f>TEXT(C686,"ddd")</f>
        <v/>
      </c>
      <c r="E686" s="15" t="inlineStr">
        <is>
          <t>Puzzle Saturday</t>
        </is>
      </c>
      <c r="F686" s="25" t="inlineStr">
        <is>
          <t>🧩 Puzzles &amp; Problem-Solving</t>
        </is>
      </c>
      <c r="G686" s="15" t="n">
        <v>98</v>
      </c>
      <c r="H686" s="15" t="inlineStr">
        <is>
          <t>Ultimate Animal Puzzle</t>
        </is>
      </c>
      <c r="I686" s="15" t="inlineStr">
        <is>
          <t>Ultimate Animal Puzzle 🧩 | Brain Games for Kids | Tiny Sparks</t>
        </is>
      </c>
      <c r="J686" s="15" t="inlineStr">
        <is>
          <t>3–5</t>
        </is>
      </c>
      <c r="K686" s="15" t="inlineStr">
        <is>
          <t>Long 16:9</t>
        </is>
      </c>
      <c r="L686" s="15" t="inlineStr">
        <is>
          <t>4–8 min</t>
        </is>
      </c>
      <c r="M686" s="15" t="inlineStr">
        <is>
          <t>Prof. Hoot + Leo + score strip</t>
        </is>
      </c>
      <c r="N686" s="15" t="inlineStr">
        <is>
          <t>Thinking skill: reasoning</t>
        </is>
      </c>
      <c r="O686" s="15" t="inlineStr">
        <is>
          <t>Yes</t>
        </is>
      </c>
      <c r="P686" s="15" t="inlineStr">
        <is>
          <t>P3</t>
        </is>
      </c>
      <c r="Q686" s="15" t="inlineStr">
        <is>
          <t>Idea</t>
        </is>
      </c>
      <c r="R686" s="48">
        <f>INDEX('Start Here'!$B$10:$B$16,WEEKDAY(C686,2))</f>
        <v/>
      </c>
      <c r="S686" s="48">
        <f>MOD(R686+'Start Here'!$B$6/24,1)</f>
        <v/>
      </c>
      <c r="T686" s="15" t="n"/>
      <c r="U686" s="15" t="n"/>
      <c r="V686" s="15" t="n"/>
      <c r="W686" s="15" t="n"/>
      <c r="X686" s="20" t="n"/>
      <c r="Y686" s="15" t="n"/>
    </row>
    <row r="687">
      <c r="A687" s="15" t="n">
        <v>686</v>
      </c>
      <c r="B687" s="16">
        <f>INT((A687-1)/7)+1</f>
        <v/>
      </c>
      <c r="C687" s="47">
        <f>'Start Here'!$B$5+A687-1</f>
        <v/>
      </c>
      <c r="D687" s="16">
        <f>TEXT(C687,"ddd")</f>
        <v/>
      </c>
      <c r="E687" s="15" t="inlineStr">
        <is>
          <t>Song Sunday</t>
        </is>
      </c>
      <c r="F687" s="26" t="inlineStr">
        <is>
          <t>🎵 Educational Songs</t>
        </is>
      </c>
      <c r="G687" s="15" t="n">
        <v>98</v>
      </c>
      <c r="H687" s="15" t="inlineStr">
        <is>
          <t>Kids Around the World Song</t>
        </is>
      </c>
      <c r="I687" s="15" t="inlineStr">
        <is>
          <t>Kids Around the World Song 🎵 | Kids Songs | Tiny Sparks</t>
        </is>
      </c>
      <c r="J687" s="15" t="inlineStr">
        <is>
          <t>3–5</t>
        </is>
      </c>
      <c r="K687" s="15" t="inlineStr">
        <is>
          <t>Long 16:9 + Short cut</t>
        </is>
      </c>
      <c r="L687" s="15" t="inlineStr">
        <is>
          <t>2–3 min (Short: 45 s chorus)</t>
        </is>
      </c>
      <c r="M687" s="15" t="inlineStr">
        <is>
          <t>Mila sings, all dance</t>
        </is>
      </c>
      <c r="N687" s="15" t="inlineStr">
        <is>
          <t>Sing &amp; learn: Kids Around the World</t>
        </is>
      </c>
      <c r="O687" s="15" t="inlineStr">
        <is>
          <t>Yes</t>
        </is>
      </c>
      <c r="P687" s="15" t="inlineStr">
        <is>
          <t>P3</t>
        </is>
      </c>
      <c r="Q687" s="15" t="inlineStr">
        <is>
          <t>Idea</t>
        </is>
      </c>
      <c r="R687" s="48">
        <f>INDEX('Start Here'!$B$10:$B$16,WEEKDAY(C687,2))</f>
        <v/>
      </c>
      <c r="S687" s="48">
        <f>MOD(R687+'Start Here'!$B$6/24,1)</f>
        <v/>
      </c>
      <c r="T687" s="15" t="n"/>
      <c r="U687" s="15" t="n"/>
      <c r="V687" s="15" t="n"/>
      <c r="W687" s="15" t="n"/>
      <c r="X687" s="20" t="n"/>
      <c r="Y687" s="15" t="n"/>
    </row>
    <row r="688">
      <c r="A688" s="15" t="n">
        <v>687</v>
      </c>
      <c r="B688" s="16">
        <f>INT((A688-1)/7)+1</f>
        <v/>
      </c>
      <c r="C688" s="47">
        <f>'Start Here'!$B$5+A688-1</f>
        <v/>
      </c>
      <c r="D688" s="16">
        <f>TEXT(C688,"ddd")</f>
        <v/>
      </c>
      <c r="E688" s="15" t="inlineStr">
        <is>
          <t>Story Monday</t>
        </is>
      </c>
      <c r="F688" s="18" t="inlineStr">
        <is>
          <t>🧠 Educational Stories</t>
        </is>
      </c>
      <c r="G688" s="15" t="n">
        <v>50</v>
      </c>
      <c r="H688" s="15" t="inlineStr">
        <is>
          <t>Emma Learns Why We Need Clean Water</t>
        </is>
      </c>
      <c r="I688" s="15" t="inlineStr">
        <is>
          <t>Mila Learns Why We Need Clean Water 🧠 | Kids Stories | Tiny Sparks</t>
        </is>
      </c>
      <c r="J688" s="15" t="inlineStr">
        <is>
          <t>3–5</t>
        </is>
      </c>
      <c r="K688" s="15" t="inlineStr">
        <is>
          <t>Long 16:9 + Short teaser</t>
        </is>
      </c>
      <c r="L688" s="15" t="inlineStr">
        <is>
          <t>3–5 min (Short: 50 s)</t>
        </is>
      </c>
      <c r="M688" s="15" t="inlineStr">
        <is>
          <t>Mila (lead) · Mila, Leo, Bobo + narrator</t>
        </is>
      </c>
      <c r="N688" s="15" t="inlineStr">
        <is>
          <t>Life skill: We Need Clean Water</t>
        </is>
      </c>
      <c r="O688" s="15" t="inlineStr">
        <is>
          <t>Yes</t>
        </is>
      </c>
      <c r="P688" s="15" t="inlineStr">
        <is>
          <t>P3</t>
        </is>
      </c>
      <c r="Q688" s="15" t="inlineStr">
        <is>
          <t>Idea</t>
        </is>
      </c>
      <c r="R688" s="48">
        <f>INDEX('Start Here'!$B$10:$B$16,WEEKDAY(C688,2))</f>
        <v/>
      </c>
      <c r="S688" s="48">
        <f>MOD(R688+'Start Here'!$B$6/24,1)</f>
        <v/>
      </c>
      <c r="T688" s="15" t="n"/>
      <c r="U688" s="15" t="n"/>
      <c r="V688" s="15" t="n"/>
      <c r="W688" s="15" t="n"/>
      <c r="X688" s="20" t="n"/>
      <c r="Y688" s="15" t="n"/>
    </row>
    <row r="689">
      <c r="A689" s="15" t="n">
        <v>688</v>
      </c>
      <c r="B689" s="16">
        <f>INT((A689-1)/7)+1</f>
        <v/>
      </c>
      <c r="C689" s="47">
        <f>'Start Here'!$B$5+A689-1</f>
        <v/>
      </c>
      <c r="D689" s="16">
        <f>TEXT(C689,"ddd")</f>
        <v/>
      </c>
      <c r="E689" s="15" t="inlineStr">
        <is>
          <t>Math Tuesday</t>
        </is>
      </c>
      <c r="F689" s="21" t="inlineStr">
        <is>
          <t>🔢 Numbers &amp; Math</t>
        </is>
      </c>
      <c r="G689" s="15" t="n">
        <v>99</v>
      </c>
      <c r="H689" s="15" t="inlineStr">
        <is>
          <t>10 Math Questions Challenge</t>
        </is>
      </c>
      <c r="I689" s="15" t="inlineStr">
        <is>
          <t>10 Math Questions Challenge 🔢 | Learn Math for Kids | Tiny Sparks</t>
        </is>
      </c>
      <c r="J689" s="15" t="inlineStr">
        <is>
          <t>6–8</t>
        </is>
      </c>
      <c r="K689" s="15" t="inlineStr">
        <is>
          <t>Long 16:9</t>
        </is>
      </c>
      <c r="L689" s="15" t="inlineStr">
        <is>
          <t>4–8 min</t>
        </is>
      </c>
      <c r="M689" s="15" t="inlineStr">
        <is>
          <t>Bobo + Mila (counting fingers)</t>
        </is>
      </c>
      <c r="N689" s="15" t="inlineStr">
        <is>
          <t>Math: 10 Math Questions Challenge</t>
        </is>
      </c>
      <c r="O689" s="15" t="inlineStr">
        <is>
          <t>Yes</t>
        </is>
      </c>
      <c r="P689" s="15" t="inlineStr">
        <is>
          <t>P3</t>
        </is>
      </c>
      <c r="Q689" s="15" t="inlineStr">
        <is>
          <t>Idea</t>
        </is>
      </c>
      <c r="R689" s="48">
        <f>INDEX('Start Here'!$B$10:$B$16,WEEKDAY(C689,2))</f>
        <v/>
      </c>
      <c r="S689" s="48">
        <f>MOD(R689+'Start Here'!$B$6/24,1)</f>
        <v/>
      </c>
      <c r="T689" s="15" t="n"/>
      <c r="U689" s="15" t="n"/>
      <c r="V689" s="15" t="n"/>
      <c r="W689" s="15" t="n"/>
      <c r="X689" s="20" t="n"/>
      <c r="Y689" s="15" t="n"/>
    </row>
    <row r="690">
      <c r="A690" s="15" t="n">
        <v>689</v>
      </c>
      <c r="B690" s="16">
        <f>INT((A690-1)/7)+1</f>
        <v/>
      </c>
      <c r="C690" s="47">
        <f>'Start Here'!$B$5+A690-1</f>
        <v/>
      </c>
      <c r="D690" s="16">
        <f>TEXT(C690,"ddd")</f>
        <v/>
      </c>
      <c r="E690" s="15" t="inlineStr">
        <is>
          <t>Word Wednesday</t>
        </is>
      </c>
      <c r="F690" s="22" t="inlineStr">
        <is>
          <t>🔤 English/French Words</t>
        </is>
      </c>
      <c r="G690" s="15" t="n">
        <v>99</v>
      </c>
      <c r="H690" s="15" t="inlineStr">
        <is>
          <t>English/French School Adventure</t>
        </is>
      </c>
      <c r="I690" s="15" t="inlineStr">
        <is>
          <t>English/French School Adventure 🔤 | Kids Vocabulary | Tiny Sparks</t>
        </is>
      </c>
      <c r="J690" s="15" t="inlineStr">
        <is>
          <t>3–5</t>
        </is>
      </c>
      <c r="K690" s="15" t="inlineStr">
        <is>
          <t>Long 16:9</t>
        </is>
      </c>
      <c r="L690" s="15" t="inlineStr">
        <is>
          <t>4–8 min</t>
        </is>
      </c>
      <c r="M690" s="15" t="inlineStr">
        <is>
          <t>Mila + French narrator</t>
        </is>
      </c>
      <c r="N690" s="15" t="inlineStr">
        <is>
          <t>Vocabulary EN→FR: English/French School Adventure</t>
        </is>
      </c>
      <c r="O690" s="15" t="inlineStr">
        <is>
          <t>Yes</t>
        </is>
      </c>
      <c r="P690" s="15" t="inlineStr">
        <is>
          <t>P3</t>
        </is>
      </c>
      <c r="Q690" s="15" t="inlineStr">
        <is>
          <t>Idea</t>
        </is>
      </c>
      <c r="R690" s="48">
        <f>INDEX('Start Here'!$B$10:$B$16,WEEKDAY(C690,2))</f>
        <v/>
      </c>
      <c r="S690" s="48">
        <f>MOD(R690+'Start Here'!$B$6/24,1)</f>
        <v/>
      </c>
      <c r="T690" s="15" t="n"/>
      <c r="U690" s="15" t="n"/>
      <c r="V690" s="15" t="n"/>
      <c r="W690" s="15" t="n"/>
      <c r="X690" s="20" t="n"/>
      <c r="Y690" s="15" t="n"/>
    </row>
    <row r="691">
      <c r="A691" s="15" t="n">
        <v>690</v>
      </c>
      <c r="B691" s="16">
        <f>INT((A691-1)/7)+1</f>
        <v/>
      </c>
      <c r="C691" s="47">
        <f>'Start Here'!$B$5+A691-1</f>
        <v/>
      </c>
      <c r="D691" s="16">
        <f>TEXT(C691,"ddd")</f>
        <v/>
      </c>
      <c r="E691" s="15" t="inlineStr">
        <is>
          <t>Animal Thursday</t>
        </is>
      </c>
      <c r="F691" s="23" t="inlineStr">
        <is>
          <t>🦁 Animal Stories</t>
        </is>
      </c>
      <c r="G691" s="15" t="n">
        <v>99</v>
      </c>
      <c r="H691" s="15" t="inlineStr">
        <is>
          <t>The Great Jungle Mystery</t>
        </is>
      </c>
      <c r="I691" s="15" t="inlineStr">
        <is>
          <t>The Great Jungle Mystery 🦁 | Animal Stories for Kids | Tiny Sparks</t>
        </is>
      </c>
      <c r="J691" s="15" t="inlineStr">
        <is>
          <t>3–5</t>
        </is>
      </c>
      <c r="K691" s="15" t="inlineStr">
        <is>
          <t>Long 16:9 + Short teaser</t>
        </is>
      </c>
      <c r="L691" s="15" t="inlineStr">
        <is>
          <t>3–5 min (Short: 50 s)</t>
        </is>
      </c>
      <c r="M691" s="15" t="inlineStr">
        <is>
          <t>guest animal(s) + Bobo</t>
        </is>
      </c>
      <c r="N691" s="15" t="inlineStr">
        <is>
          <t>Story + 3 true animal facts; value: friendship</t>
        </is>
      </c>
      <c r="O691" s="15" t="inlineStr">
        <is>
          <t>Build first: jungle</t>
        </is>
      </c>
      <c r="P691" s="15" t="inlineStr">
        <is>
          <t>P3</t>
        </is>
      </c>
      <c r="Q691" s="15" t="inlineStr">
        <is>
          <t>Idea</t>
        </is>
      </c>
      <c r="R691" s="48">
        <f>INDEX('Start Here'!$B$10:$B$16,WEEKDAY(C691,2))</f>
        <v/>
      </c>
      <c r="S691" s="48">
        <f>MOD(R691+'Start Here'!$B$6/24,1)</f>
        <v/>
      </c>
      <c r="T691" s="15" t="n"/>
      <c r="U691" s="15" t="n"/>
      <c r="V691" s="15" t="n"/>
      <c r="W691" s="15" t="n"/>
      <c r="X691" s="20" t="n"/>
      <c r="Y691" s="15" t="n"/>
    </row>
    <row r="692">
      <c r="A692" s="15" t="n">
        <v>691</v>
      </c>
      <c r="B692" s="16">
        <f>INT((A692-1)/7)+1</f>
        <v/>
      </c>
      <c r="C692" s="47">
        <f>'Start Here'!$B$5+A692-1</f>
        <v/>
      </c>
      <c r="D692" s="16">
        <f>TEXT(C692,"ddd")</f>
        <v/>
      </c>
      <c r="E692" s="15" t="inlineStr">
        <is>
          <t>Science Friday</t>
        </is>
      </c>
      <c r="F692" s="24" t="inlineStr">
        <is>
          <t>🚀 Science for Kids</t>
        </is>
      </c>
      <c r="G692" s="15" t="n">
        <v>99</v>
      </c>
      <c r="H692" s="15" t="inlineStr">
        <is>
          <t>Kids Science Quiz</t>
        </is>
      </c>
      <c r="I692" s="15" t="inlineStr">
        <is>
          <t>Kids Science Quiz 🚀 | Science for Kids | Tiny Sparks</t>
        </is>
      </c>
      <c r="J692" s="15" t="inlineStr">
        <is>
          <t>6–8</t>
        </is>
      </c>
      <c r="K692" s="15" t="inlineStr">
        <is>
          <t>Long 16:9</t>
        </is>
      </c>
      <c r="L692" s="15" t="inlineStr">
        <is>
          <t>4–8 min</t>
        </is>
      </c>
      <c r="M692" s="15" t="inlineStr">
        <is>
          <t>Prof. Hoot + Leo (wrong guess) + Mila</t>
        </is>
      </c>
      <c r="N692" s="15" t="inlineStr">
        <is>
          <t>Answer simply: Kids Science Quiz</t>
        </is>
      </c>
      <c r="O692" s="15" t="inlineStr">
        <is>
          <t>Yes</t>
        </is>
      </c>
      <c r="P692" s="15" t="inlineStr">
        <is>
          <t>P3</t>
        </is>
      </c>
      <c r="Q692" s="15" t="inlineStr">
        <is>
          <t>Idea</t>
        </is>
      </c>
      <c r="R692" s="48">
        <f>INDEX('Start Here'!$B$10:$B$16,WEEKDAY(C692,2))</f>
        <v/>
      </c>
      <c r="S692" s="48">
        <f>MOD(R692+'Start Here'!$B$6/24,1)</f>
        <v/>
      </c>
      <c r="T692" s="15" t="n"/>
      <c r="U692" s="15" t="n"/>
      <c r="V692" s="15" t="n"/>
      <c r="W692" s="15" t="n"/>
      <c r="X692" s="20" t="n"/>
      <c r="Y692" s="15" t="n"/>
    </row>
    <row r="693">
      <c r="A693" s="15" t="n">
        <v>692</v>
      </c>
      <c r="B693" s="16">
        <f>INT((A693-1)/7)+1</f>
        <v/>
      </c>
      <c r="C693" s="47">
        <f>'Start Here'!$B$5+A693-1</f>
        <v/>
      </c>
      <c r="D693" s="16">
        <f>TEXT(C693,"ddd")</f>
        <v/>
      </c>
      <c r="E693" s="15" t="inlineStr">
        <is>
          <t>Puzzle Saturday</t>
        </is>
      </c>
      <c r="F693" s="25" t="inlineStr">
        <is>
          <t>🧩 Puzzles &amp; Problem-Solving</t>
        </is>
      </c>
      <c r="G693" s="15" t="n">
        <v>99</v>
      </c>
      <c r="H693" s="15" t="inlineStr">
        <is>
          <t>Ultimate Math Puzzle</t>
        </is>
      </c>
      <c r="I693" s="15" t="inlineStr">
        <is>
          <t>Ultimate Math Puzzle 🧩 | Brain Games for Kids | Tiny Sparks</t>
        </is>
      </c>
      <c r="J693" s="15" t="inlineStr">
        <is>
          <t>3–5</t>
        </is>
      </c>
      <c r="K693" s="15" t="inlineStr">
        <is>
          <t>Long 16:9</t>
        </is>
      </c>
      <c r="L693" s="15" t="inlineStr">
        <is>
          <t>4–8 min</t>
        </is>
      </c>
      <c r="M693" s="15" t="inlineStr">
        <is>
          <t>Prof. Hoot + Leo + score strip</t>
        </is>
      </c>
      <c r="N693" s="15" t="inlineStr">
        <is>
          <t>Thinking skill: reasoning</t>
        </is>
      </c>
      <c r="O693" s="15" t="inlineStr">
        <is>
          <t>Yes</t>
        </is>
      </c>
      <c r="P693" s="15" t="inlineStr">
        <is>
          <t>P3</t>
        </is>
      </c>
      <c r="Q693" s="15" t="inlineStr">
        <is>
          <t>Idea</t>
        </is>
      </c>
      <c r="R693" s="48">
        <f>INDEX('Start Here'!$B$10:$B$16,WEEKDAY(C693,2))</f>
        <v/>
      </c>
      <c r="S693" s="48">
        <f>MOD(R693+'Start Here'!$B$6/24,1)</f>
        <v/>
      </c>
      <c r="T693" s="15" t="n"/>
      <c r="U693" s="15" t="n"/>
      <c r="V693" s="15" t="n"/>
      <c r="W693" s="15" t="n"/>
      <c r="X693" s="20" t="n"/>
      <c r="Y693" s="15" t="n"/>
    </row>
    <row r="694">
      <c r="A694" s="15" t="n">
        <v>693</v>
      </c>
      <c r="B694" s="16">
        <f>INT((A694-1)/7)+1</f>
        <v/>
      </c>
      <c r="C694" s="47">
        <f>'Start Here'!$B$5+A694-1</f>
        <v/>
      </c>
      <c r="D694" s="16">
        <f>TEXT(C694,"ddd")</f>
        <v/>
      </c>
      <c r="E694" s="15" t="inlineStr">
        <is>
          <t>Song Sunday</t>
        </is>
      </c>
      <c r="F694" s="26" t="inlineStr">
        <is>
          <t>🎵 Educational Songs</t>
        </is>
      </c>
      <c r="G694" s="15" t="n">
        <v>99</v>
      </c>
      <c r="H694" s="15" t="inlineStr">
        <is>
          <t>We Can Learn Anything Song</t>
        </is>
      </c>
      <c r="I694" s="15" t="inlineStr">
        <is>
          <t>We Can Learn Anything Song 🎵 | Kids Songs | Tiny Sparks</t>
        </is>
      </c>
      <c r="J694" s="15" t="inlineStr">
        <is>
          <t>3–5</t>
        </is>
      </c>
      <c r="K694" s="15" t="inlineStr">
        <is>
          <t>Long 16:9 + Short cut</t>
        </is>
      </c>
      <c r="L694" s="15" t="inlineStr">
        <is>
          <t>2–3 min (Short: 45 s chorus)</t>
        </is>
      </c>
      <c r="M694" s="15" t="inlineStr">
        <is>
          <t>Mila sings, all dance</t>
        </is>
      </c>
      <c r="N694" s="15" t="inlineStr">
        <is>
          <t>Sing &amp; learn: We Can Learn Anything</t>
        </is>
      </c>
      <c r="O694" s="15" t="inlineStr">
        <is>
          <t>Yes</t>
        </is>
      </c>
      <c r="P694" s="15" t="inlineStr">
        <is>
          <t>P3</t>
        </is>
      </c>
      <c r="Q694" s="15" t="inlineStr">
        <is>
          <t>Idea</t>
        </is>
      </c>
      <c r="R694" s="48">
        <f>INDEX('Start Here'!$B$10:$B$16,WEEKDAY(C694,2))</f>
        <v/>
      </c>
      <c r="S694" s="48">
        <f>MOD(R694+'Start Here'!$B$6/24,1)</f>
        <v/>
      </c>
      <c r="T694" s="15" t="n"/>
      <c r="U694" s="15" t="n"/>
      <c r="V694" s="15" t="n"/>
      <c r="W694" s="15" t="n"/>
      <c r="X694" s="20" t="n"/>
      <c r="Y694" s="15" t="n"/>
    </row>
    <row r="695">
      <c r="A695" s="15" t="n">
        <v>694</v>
      </c>
      <c r="B695" s="16">
        <f>INT((A695-1)/7)+1</f>
        <v/>
      </c>
      <c r="C695" s="47">
        <f>'Start Here'!$B$5+A695-1</f>
        <v/>
      </c>
      <c r="D695" s="16">
        <f>TEXT(C695,"ddd")</f>
        <v/>
      </c>
      <c r="E695" s="15" t="inlineStr">
        <is>
          <t>Story Monday</t>
        </is>
      </c>
      <c r="F695" s="27" t="inlineStr">
        <is>
          <t>📚 Moral Stories</t>
        </is>
      </c>
      <c r="G695" s="15" t="n">
        <v>50</v>
      </c>
      <c r="H695" s="15" t="inlineStr">
        <is>
          <t>The Last Tree in the Forest</t>
        </is>
      </c>
      <c r="I695" s="15" t="inlineStr">
        <is>
          <t>The Last Tree in the Forest 📚 | Moral Stories for Kids | Tiny Sparks</t>
        </is>
      </c>
      <c r="J695" s="15" t="inlineStr">
        <is>
          <t>3–5</t>
        </is>
      </c>
      <c r="K695" s="15" t="inlineStr">
        <is>
          <t>Long 16:9 + Short teaser</t>
        </is>
      </c>
      <c r="L695" s="15" t="inlineStr">
        <is>
          <t>3–5 min (Short: 50 s)</t>
        </is>
      </c>
      <c r="M695" s="15" t="inlineStr">
        <is>
          <t>narrator + guest animals / Mila &amp; Leo</t>
        </is>
      </c>
      <c r="N695" s="15" t="inlineStr">
        <is>
          <t>Value: caring for the planet</t>
        </is>
      </c>
      <c r="O695" s="15" t="inlineStr">
        <is>
          <t>Yes</t>
        </is>
      </c>
      <c r="P695" s="15" t="inlineStr">
        <is>
          <t>P3</t>
        </is>
      </c>
      <c r="Q695" s="15" t="inlineStr">
        <is>
          <t>Idea</t>
        </is>
      </c>
      <c r="R695" s="48">
        <f>INDEX('Start Here'!$B$10:$B$16,WEEKDAY(C695,2))</f>
        <v/>
      </c>
      <c r="S695" s="48">
        <f>MOD(R695+'Start Here'!$B$6/24,1)</f>
        <v/>
      </c>
      <c r="T695" s="15" t="n"/>
      <c r="U695" s="15" t="n"/>
      <c r="V695" s="15" t="n"/>
      <c r="W695" s="15" t="n"/>
      <c r="X695" s="20" t="n"/>
      <c r="Y695" s="15" t="n"/>
    </row>
    <row r="696">
      <c r="A696" s="15" t="n">
        <v>695</v>
      </c>
      <c r="B696" s="16">
        <f>INT((A696-1)/7)+1</f>
        <v/>
      </c>
      <c r="C696" s="47">
        <f>'Start Here'!$B$5+A696-1</f>
        <v/>
      </c>
      <c r="D696" s="16">
        <f>TEXT(C696,"ddd")</f>
        <v/>
      </c>
      <c r="E696" s="15" t="inlineStr">
        <is>
          <t>Math Tuesday</t>
        </is>
      </c>
      <c r="F696" s="21" t="inlineStr">
        <is>
          <t>🔢 Numbers &amp; Math</t>
        </is>
      </c>
      <c r="G696" s="15" t="n">
        <v>100</v>
      </c>
      <c r="H696" s="15" t="inlineStr">
        <is>
          <t>Ultimate Kids Math Quiz</t>
        </is>
      </c>
      <c r="I696" s="15" t="inlineStr">
        <is>
          <t>Ultimate Kids Math Quiz 🔢 | Learn Math for Kids | Tiny Sparks</t>
        </is>
      </c>
      <c r="J696" s="15" t="inlineStr">
        <is>
          <t>6–8</t>
        </is>
      </c>
      <c r="K696" s="15" t="inlineStr">
        <is>
          <t>Long 16:9</t>
        </is>
      </c>
      <c r="L696" s="15" t="inlineStr">
        <is>
          <t>4–8 min</t>
        </is>
      </c>
      <c r="M696" s="15" t="inlineStr">
        <is>
          <t>Bobo + Mila (counting fingers)</t>
        </is>
      </c>
      <c r="N696" s="15" t="inlineStr">
        <is>
          <t>Math: Ultimate Kids Math Quiz</t>
        </is>
      </c>
      <c r="O696" s="15" t="inlineStr">
        <is>
          <t>Yes</t>
        </is>
      </c>
      <c r="P696" s="15" t="inlineStr">
        <is>
          <t>P3</t>
        </is>
      </c>
      <c r="Q696" s="15" t="inlineStr">
        <is>
          <t>Idea</t>
        </is>
      </c>
      <c r="R696" s="48">
        <f>INDEX('Start Here'!$B$10:$B$16,WEEKDAY(C696,2))</f>
        <v/>
      </c>
      <c r="S696" s="48">
        <f>MOD(R696+'Start Here'!$B$6/24,1)</f>
        <v/>
      </c>
      <c r="T696" s="15" t="n"/>
      <c r="U696" s="15" t="n"/>
      <c r="V696" s="15" t="n"/>
      <c r="W696" s="15" t="n"/>
      <c r="X696" s="20" t="n"/>
      <c r="Y696" s="15" t="n"/>
    </row>
    <row r="697">
      <c r="A697" s="15" t="n">
        <v>696</v>
      </c>
      <c r="B697" s="16">
        <f>INT((A697-1)/7)+1</f>
        <v/>
      </c>
      <c r="C697" s="47">
        <f>'Start Here'!$B$5+A697-1</f>
        <v/>
      </c>
      <c r="D697" s="16">
        <f>TEXT(C697,"ddd")</f>
        <v/>
      </c>
      <c r="E697" s="15" t="inlineStr">
        <is>
          <t>Word Wednesday</t>
        </is>
      </c>
      <c r="F697" s="22" t="inlineStr">
        <is>
          <t>🔤 English/French Words</t>
        </is>
      </c>
      <c r="G697" s="15" t="n">
        <v>100</v>
      </c>
      <c r="H697" s="15" t="inlineStr">
        <is>
          <t>Ultimate English/French Vocabulary Quiz</t>
        </is>
      </c>
      <c r="I697" s="15" t="inlineStr">
        <is>
          <t>Ultimate English/French Vocabulary Quiz 🔤 | Kids Vocabulary | Tiny Sparks</t>
        </is>
      </c>
      <c r="J697" s="15" t="inlineStr">
        <is>
          <t>6–8</t>
        </is>
      </c>
      <c r="K697" s="15" t="inlineStr">
        <is>
          <t>Long 16:9</t>
        </is>
      </c>
      <c r="L697" s="15" t="inlineStr">
        <is>
          <t>4–8 min</t>
        </is>
      </c>
      <c r="M697" s="15" t="inlineStr">
        <is>
          <t>Mila + French narrator</t>
        </is>
      </c>
      <c r="N697" s="15" t="inlineStr">
        <is>
          <t>Vocabulary EN→FR: Ultimate Vocabulary Quiz</t>
        </is>
      </c>
      <c r="O697" s="15" t="inlineStr">
        <is>
          <t>Yes</t>
        </is>
      </c>
      <c r="P697" s="15" t="inlineStr">
        <is>
          <t>P3</t>
        </is>
      </c>
      <c r="Q697" s="15" t="inlineStr">
        <is>
          <t>Idea</t>
        </is>
      </c>
      <c r="R697" s="48">
        <f>INDEX('Start Here'!$B$10:$B$16,WEEKDAY(C697,2))</f>
        <v/>
      </c>
      <c r="S697" s="48">
        <f>MOD(R697+'Start Here'!$B$6/24,1)</f>
        <v/>
      </c>
      <c r="T697" s="15" t="n"/>
      <c r="U697" s="15" t="n"/>
      <c r="V697" s="15" t="n"/>
      <c r="W697" s="15" t="n"/>
      <c r="X697" s="20" t="n"/>
      <c r="Y697" s="15" t="n"/>
    </row>
    <row r="698">
      <c r="A698" s="15" t="n">
        <v>697</v>
      </c>
      <c r="B698" s="16">
        <f>INT((A698-1)/7)+1</f>
        <v/>
      </c>
      <c r="C698" s="47">
        <f>'Start Here'!$B$5+A698-1</f>
        <v/>
      </c>
      <c r="D698" s="16">
        <f>TEXT(C698,"ddd")</f>
        <v/>
      </c>
      <c r="E698" s="15" t="inlineStr">
        <is>
          <t>Animal Thursday</t>
        </is>
      </c>
      <c r="F698" s="23" t="inlineStr">
        <is>
          <t>🦁 Animal Stories</t>
        </is>
      </c>
      <c r="G698" s="15" t="n">
        <v>100</v>
      </c>
      <c r="H698" s="15" t="inlineStr">
        <is>
          <t>The Animal Kingdom Adventure</t>
        </is>
      </c>
      <c r="I698" s="15" t="inlineStr">
        <is>
          <t>The Animal Kingdom Adventure 🦁 | Animal Stories for Kids | Tiny Sparks</t>
        </is>
      </c>
      <c r="J698" s="15" t="inlineStr">
        <is>
          <t>6–8</t>
        </is>
      </c>
      <c r="K698" s="15" t="inlineStr">
        <is>
          <t>Long 16:9 + Short teaser</t>
        </is>
      </c>
      <c r="L698" s="15" t="inlineStr">
        <is>
          <t>3–5 min (Short: 50 s)</t>
        </is>
      </c>
      <c r="M698" s="15" t="inlineStr">
        <is>
          <t>guest animal(s) + Bobo</t>
        </is>
      </c>
      <c r="N698" s="15" t="inlineStr">
        <is>
          <t>Story + 3 true animal facts; value: friendship</t>
        </is>
      </c>
      <c r="O698" s="15" t="inlineStr">
        <is>
          <t>Yes</t>
        </is>
      </c>
      <c r="P698" s="15" t="inlineStr">
        <is>
          <t>P3</t>
        </is>
      </c>
      <c r="Q698" s="15" t="inlineStr">
        <is>
          <t>Idea</t>
        </is>
      </c>
      <c r="R698" s="48">
        <f>INDEX('Start Here'!$B$10:$B$16,WEEKDAY(C698,2))</f>
        <v/>
      </c>
      <c r="S698" s="48">
        <f>MOD(R698+'Start Here'!$B$6/24,1)</f>
        <v/>
      </c>
      <c r="T698" s="15" t="n"/>
      <c r="U698" s="15" t="n"/>
      <c r="V698" s="15" t="n"/>
      <c r="W698" s="15" t="n"/>
      <c r="X698" s="20" t="n"/>
      <c r="Y698" s="15" t="n"/>
    </row>
    <row r="699">
      <c r="A699" s="15" t="n">
        <v>698</v>
      </c>
      <c r="B699" s="16">
        <f>INT((A699-1)/7)+1</f>
        <v/>
      </c>
      <c r="C699" s="47">
        <f>'Start Here'!$B$5+A699-1</f>
        <v/>
      </c>
      <c r="D699" s="16">
        <f>TEXT(C699,"ddd")</f>
        <v/>
      </c>
      <c r="E699" s="15" t="inlineStr">
        <is>
          <t>Science Friday</t>
        </is>
      </c>
      <c r="F699" s="24" t="inlineStr">
        <is>
          <t>🚀 Science for Kids</t>
        </is>
      </c>
      <c r="G699" s="15" t="n">
        <v>100</v>
      </c>
      <c r="H699" s="15" t="inlineStr">
        <is>
          <t>Ultimate Science Adventure</t>
        </is>
      </c>
      <c r="I699" s="15" t="inlineStr">
        <is>
          <t>Ultimate Science Adventure 🚀 | Science for Kids | Tiny Sparks</t>
        </is>
      </c>
      <c r="J699" s="15" t="inlineStr">
        <is>
          <t>6–8</t>
        </is>
      </c>
      <c r="K699" s="15" t="inlineStr">
        <is>
          <t>Long 16:9</t>
        </is>
      </c>
      <c r="L699" s="15" t="inlineStr">
        <is>
          <t>4–8 min</t>
        </is>
      </c>
      <c r="M699" s="15" t="inlineStr">
        <is>
          <t>Prof. Hoot + Leo (wrong guess) + Mila</t>
        </is>
      </c>
      <c r="N699" s="15" t="inlineStr">
        <is>
          <t>Answer simply: Ultimate Science Adventure</t>
        </is>
      </c>
      <c r="O699" s="15" t="inlineStr">
        <is>
          <t>Yes</t>
        </is>
      </c>
      <c r="P699" s="15" t="inlineStr">
        <is>
          <t>P3</t>
        </is>
      </c>
      <c r="Q699" s="15" t="inlineStr">
        <is>
          <t>Idea</t>
        </is>
      </c>
      <c r="R699" s="48">
        <f>INDEX('Start Here'!$B$10:$B$16,WEEKDAY(C699,2))</f>
        <v/>
      </c>
      <c r="S699" s="48">
        <f>MOD(R699+'Start Here'!$B$6/24,1)</f>
        <v/>
      </c>
      <c r="T699" s="15" t="n"/>
      <c r="U699" s="15" t="n"/>
      <c r="V699" s="15" t="n"/>
      <c r="W699" s="15" t="n"/>
      <c r="X699" s="20" t="n"/>
      <c r="Y699" s="15" t="n"/>
    </row>
    <row r="700">
      <c r="A700" s="15" t="n">
        <v>699</v>
      </c>
      <c r="B700" s="16">
        <f>INT((A700-1)/7)+1</f>
        <v/>
      </c>
      <c r="C700" s="47">
        <f>'Start Here'!$B$5+A700-1</f>
        <v/>
      </c>
      <c r="D700" s="16">
        <f>TEXT(C700,"ddd")</f>
        <v/>
      </c>
      <c r="E700" s="15" t="inlineStr">
        <is>
          <t>Puzzle Saturday</t>
        </is>
      </c>
      <c r="F700" s="25" t="inlineStr">
        <is>
          <t>🧩 Puzzles &amp; Problem-Solving</t>
        </is>
      </c>
      <c r="G700" s="15" t="n">
        <v>100</v>
      </c>
      <c r="H700" s="15" t="inlineStr">
        <is>
          <t>Ultimate Kids Puzzle Championship</t>
        </is>
      </c>
      <c r="I700" s="15" t="inlineStr">
        <is>
          <t>Ultimate Kids Puzzle Championship 🧩 | Brain Games for Kids | Tiny Sparks</t>
        </is>
      </c>
      <c r="J700" s="15" t="inlineStr">
        <is>
          <t>6–8</t>
        </is>
      </c>
      <c r="K700" s="15" t="inlineStr">
        <is>
          <t>Long 16:9</t>
        </is>
      </c>
      <c r="L700" s="15" t="inlineStr">
        <is>
          <t>4–8 min</t>
        </is>
      </c>
      <c r="M700" s="15" t="inlineStr">
        <is>
          <t>Prof. Hoot + Leo + score strip</t>
        </is>
      </c>
      <c r="N700" s="15" t="inlineStr">
        <is>
          <t>Thinking skill: reasoning</t>
        </is>
      </c>
      <c r="O700" s="15" t="inlineStr">
        <is>
          <t>Yes</t>
        </is>
      </c>
      <c r="P700" s="15" t="inlineStr">
        <is>
          <t>P3</t>
        </is>
      </c>
      <c r="Q700" s="15" t="inlineStr">
        <is>
          <t>Idea</t>
        </is>
      </c>
      <c r="R700" s="48">
        <f>INDEX('Start Here'!$B$10:$B$16,WEEKDAY(C700,2))</f>
        <v/>
      </c>
      <c r="S700" s="48">
        <f>MOD(R700+'Start Here'!$B$6/24,1)</f>
        <v/>
      </c>
      <c r="T700" s="15" t="n"/>
      <c r="U700" s="15" t="n"/>
      <c r="V700" s="15" t="n"/>
      <c r="W700" s="15" t="n"/>
      <c r="X700" s="20" t="n"/>
      <c r="Y700" s="15" t="n"/>
    </row>
    <row r="701">
      <c r="A701" s="15" t="n">
        <v>700</v>
      </c>
      <c r="B701" s="16">
        <f>INT((A701-1)/7)+1</f>
        <v/>
      </c>
      <c r="C701" s="47">
        <f>'Start Here'!$B$5+A701-1</f>
        <v/>
      </c>
      <c r="D701" s="16">
        <f>TEXT(C701,"ddd")</f>
        <v/>
      </c>
      <c r="E701" s="15" t="inlineStr">
        <is>
          <t>Song Sunday</t>
        </is>
      </c>
      <c r="F701" s="26" t="inlineStr">
        <is>
          <t>🎵 Educational Songs</t>
        </is>
      </c>
      <c r="G701" s="15" t="n">
        <v>100</v>
      </c>
      <c r="H701" s="15" t="inlineStr">
        <is>
          <t>Our Big Learning Adventure — Channel Theme Song</t>
        </is>
      </c>
      <c r="I701" s="15" t="inlineStr">
        <is>
          <t>Our Big Learning Adventure — Channel Theme Song 🎵 | Kids Songs | Tiny Sparks</t>
        </is>
      </c>
      <c r="J701" s="15" t="inlineStr">
        <is>
          <t>3–5</t>
        </is>
      </c>
      <c r="K701" s="15" t="inlineStr">
        <is>
          <t>Long 16:9 + Short cut</t>
        </is>
      </c>
      <c r="L701" s="15" t="inlineStr">
        <is>
          <t>2–3 min (Short: 45 s chorus)</t>
        </is>
      </c>
      <c r="M701" s="15" t="inlineStr">
        <is>
          <t>Mila sings, all dance</t>
        </is>
      </c>
      <c r="N701" s="15" t="inlineStr">
        <is>
          <t>Sing &amp; learn: Our Big Learning Adventure — Channel Theme</t>
        </is>
      </c>
      <c r="O701" s="15" t="inlineStr">
        <is>
          <t>Yes</t>
        </is>
      </c>
      <c r="P701" s="15" t="inlineStr">
        <is>
          <t>P3</t>
        </is>
      </c>
      <c r="Q701" s="15" t="inlineStr">
        <is>
          <t>Idea</t>
        </is>
      </c>
      <c r="R701" s="48">
        <f>INDEX('Start Here'!$B$10:$B$16,WEEKDAY(C701,2))</f>
        <v/>
      </c>
      <c r="S701" s="48">
        <f>MOD(R701+'Start Here'!$B$6/24,1)</f>
        <v/>
      </c>
      <c r="T701" s="15" t="n"/>
      <c r="U701" s="15" t="n"/>
      <c r="V701" s="15" t="n"/>
      <c r="W701" s="15" t="n"/>
      <c r="X701" s="20" t="n"/>
      <c r="Y701" s="15" t="n"/>
    </row>
    <row r="702">
      <c r="A702" s="15" t="n">
        <v>701</v>
      </c>
      <c r="B702" s="16">
        <f>INT((A702-1)/7)+1</f>
        <v/>
      </c>
      <c r="C702" s="47">
        <f>'Start Here'!$B$5+A702-1</f>
        <v/>
      </c>
      <c r="D702" s="16">
        <f>TEXT(C702,"ddd")</f>
        <v/>
      </c>
      <c r="E702" s="15" t="inlineStr">
        <is>
          <t>Story Season</t>
        </is>
      </c>
      <c r="F702" s="18" t="inlineStr">
        <is>
          <t>🧠 Educational Stories</t>
        </is>
      </c>
      <c r="G702" s="15" t="n">
        <v>51</v>
      </c>
      <c r="H702" s="15" t="inlineStr">
        <is>
          <t>The Magic Pencil That Taught Creativity</t>
        </is>
      </c>
      <c r="I702" s="15" t="inlineStr">
        <is>
          <t>The Magic Pencil That Taught Creativity 🧠 | Kids Stories | Tiny Sparks</t>
        </is>
      </c>
      <c r="J702" s="15" t="inlineStr">
        <is>
          <t>3–5</t>
        </is>
      </c>
      <c r="K702" s="15" t="inlineStr">
        <is>
          <t>Long 16:9 + Short teaser</t>
        </is>
      </c>
      <c r="L702" s="15" t="inlineStr">
        <is>
          <t>3–5 min (Short: 50 s)</t>
        </is>
      </c>
      <c r="M702" s="15" t="inlineStr">
        <is>
          <t>Mila, Leo, Bobo + narrator</t>
        </is>
      </c>
      <c r="N702" s="15" t="inlineStr">
        <is>
          <t>Curiosity + problem solving</t>
        </is>
      </c>
      <c r="O702" s="15" t="inlineStr">
        <is>
          <t>Yes</t>
        </is>
      </c>
      <c r="P702" s="15" t="inlineStr">
        <is>
          <t>P3</t>
        </is>
      </c>
      <c r="Q702" s="15" t="inlineStr">
        <is>
          <t>Idea</t>
        </is>
      </c>
      <c r="R702" s="48">
        <f>INDEX('Start Here'!$B$10:$B$16,WEEKDAY(C702,2))</f>
        <v/>
      </c>
      <c r="S702" s="48">
        <f>MOD(R702+'Start Here'!$B$6/24,1)</f>
        <v/>
      </c>
      <c r="T702" s="15" t="n"/>
      <c r="U702" s="15" t="n"/>
      <c r="V702" s="15" t="n"/>
      <c r="W702" s="15" t="n"/>
      <c r="X702" s="20" t="n"/>
      <c r="Y702" s="15" t="n"/>
    </row>
    <row r="703">
      <c r="A703" s="15" t="n">
        <v>702</v>
      </c>
      <c r="B703" s="16">
        <f>INT((A703-1)/7)+1</f>
        <v/>
      </c>
      <c r="C703" s="47">
        <f>'Start Here'!$B$5+A703-1</f>
        <v/>
      </c>
      <c r="D703" s="16">
        <f>TEXT(C703,"ddd")</f>
        <v/>
      </c>
      <c r="E703" s="15" t="inlineStr">
        <is>
          <t>Story Season</t>
        </is>
      </c>
      <c r="F703" s="27" t="inlineStr">
        <is>
          <t>📚 Moral Stories</t>
        </is>
      </c>
      <c r="G703" s="15" t="n">
        <v>51</v>
      </c>
      <c r="H703" s="15" t="inlineStr">
        <is>
          <t>The Boy Who Was Afraid to Try</t>
        </is>
      </c>
      <c r="I703" s="15" t="inlineStr">
        <is>
          <t>The Boy Who Was Afraid to Try 📚 | Moral Stories for Kids | Tiny Sparks</t>
        </is>
      </c>
      <c r="J703" s="15" t="inlineStr">
        <is>
          <t>3–5</t>
        </is>
      </c>
      <c r="K703" s="15" t="inlineStr">
        <is>
          <t>Long 16:9 + Short teaser</t>
        </is>
      </c>
      <c r="L703" s="15" t="inlineStr">
        <is>
          <t>3–5 min (Short: 50 s)</t>
        </is>
      </c>
      <c r="M703" s="15" t="inlineStr">
        <is>
          <t>narrator + guest animals / Mila &amp; Leo</t>
        </is>
      </c>
      <c r="N703" s="15" t="inlineStr">
        <is>
          <t>Value: courage</t>
        </is>
      </c>
      <c r="O703" s="15" t="inlineStr">
        <is>
          <t>Yes</t>
        </is>
      </c>
      <c r="P703" s="15" t="inlineStr">
        <is>
          <t>P3</t>
        </is>
      </c>
      <c r="Q703" s="15" t="inlineStr">
        <is>
          <t>Idea</t>
        </is>
      </c>
      <c r="R703" s="48">
        <f>INDEX('Start Here'!$B$10:$B$16,WEEKDAY(C703,2))</f>
        <v/>
      </c>
      <c r="S703" s="48">
        <f>MOD(R703+'Start Here'!$B$6/24,1)</f>
        <v/>
      </c>
      <c r="T703" s="15" t="n"/>
      <c r="U703" s="15" t="n"/>
      <c r="V703" s="15" t="n"/>
      <c r="W703" s="15" t="n"/>
      <c r="X703" s="20" t="n"/>
      <c r="Y703" s="15" t="n"/>
    </row>
    <row r="704">
      <c r="A704" s="15" t="n">
        <v>703</v>
      </c>
      <c r="B704" s="16">
        <f>INT((A704-1)/7)+1</f>
        <v/>
      </c>
      <c r="C704" s="47">
        <f>'Start Here'!$B$5+A704-1</f>
        <v/>
      </c>
      <c r="D704" s="16">
        <f>TEXT(C704,"ddd")</f>
        <v/>
      </c>
      <c r="E704" s="15" t="inlineStr">
        <is>
          <t>Story Season</t>
        </is>
      </c>
      <c r="F704" s="18" t="inlineStr">
        <is>
          <t>🧠 Educational Stories</t>
        </is>
      </c>
      <c r="G704" s="15" t="n">
        <v>52</v>
      </c>
      <c r="H704" s="15" t="inlineStr">
        <is>
          <t>Leo Learns About Courage</t>
        </is>
      </c>
      <c r="I704" s="15" t="inlineStr">
        <is>
          <t>Leo Learns About Courage 🧠 | Kids Stories | Tiny Sparks</t>
        </is>
      </c>
      <c r="J704" s="15" t="inlineStr">
        <is>
          <t>3–5</t>
        </is>
      </c>
      <c r="K704" s="15" t="inlineStr">
        <is>
          <t>Long 16:9 + Short teaser</t>
        </is>
      </c>
      <c r="L704" s="15" t="inlineStr">
        <is>
          <t>3–5 min (Short: 50 s)</t>
        </is>
      </c>
      <c r="M704" s="15" t="inlineStr">
        <is>
          <t>Leo (lead) · Mila, Leo, Bobo + narrator</t>
        </is>
      </c>
      <c r="N704" s="15" t="inlineStr">
        <is>
          <t>Life skill: Courage</t>
        </is>
      </c>
      <c r="O704" s="15" t="inlineStr">
        <is>
          <t>Yes</t>
        </is>
      </c>
      <c r="P704" s="15" t="inlineStr">
        <is>
          <t>P3</t>
        </is>
      </c>
      <c r="Q704" s="15" t="inlineStr">
        <is>
          <t>Idea</t>
        </is>
      </c>
      <c r="R704" s="48">
        <f>INDEX('Start Here'!$B$10:$B$16,WEEKDAY(C704,2))</f>
        <v/>
      </c>
      <c r="S704" s="48">
        <f>MOD(R704+'Start Here'!$B$6/24,1)</f>
        <v/>
      </c>
      <c r="T704" s="15" t="n"/>
      <c r="U704" s="15" t="n"/>
      <c r="V704" s="15" t="n"/>
      <c r="W704" s="15" t="n"/>
      <c r="X704" s="20" t="n"/>
      <c r="Y704" s="15" t="n"/>
    </row>
    <row r="705">
      <c r="A705" s="15" t="n">
        <v>704</v>
      </c>
      <c r="B705" s="16">
        <f>INT((A705-1)/7)+1</f>
        <v/>
      </c>
      <c r="C705" s="47">
        <f>'Start Here'!$B$5+A705-1</f>
        <v/>
      </c>
      <c r="D705" s="16">
        <f>TEXT(C705,"ddd")</f>
        <v/>
      </c>
      <c r="E705" s="15" t="inlineStr">
        <is>
          <t>Story Season</t>
        </is>
      </c>
      <c r="F705" s="27" t="inlineStr">
        <is>
          <t>📚 Moral Stories</t>
        </is>
      </c>
      <c r="G705" s="15" t="n">
        <v>52</v>
      </c>
      <c r="H705" s="15" t="inlineStr">
        <is>
          <t>The Girl Who Believed in Herself</t>
        </is>
      </c>
      <c r="I705" s="15" t="inlineStr">
        <is>
          <t>The Girl Who Believed in Herself 📚 | Moral Stories for Kids | Tiny Sparks</t>
        </is>
      </c>
      <c r="J705" s="15" t="inlineStr">
        <is>
          <t>3–5</t>
        </is>
      </c>
      <c r="K705" s="15" t="inlineStr">
        <is>
          <t>Long 16:9 + Short teaser</t>
        </is>
      </c>
      <c r="L705" s="15" t="inlineStr">
        <is>
          <t>3–5 min (Short: 50 s)</t>
        </is>
      </c>
      <c r="M705" s="15" t="inlineStr">
        <is>
          <t>narrator + guest animals / Mila &amp; Leo</t>
        </is>
      </c>
      <c r="N705" s="15" t="inlineStr">
        <is>
          <t>Value: self-belief</t>
        </is>
      </c>
      <c r="O705" s="15" t="inlineStr">
        <is>
          <t>Yes</t>
        </is>
      </c>
      <c r="P705" s="15" t="inlineStr">
        <is>
          <t>P3</t>
        </is>
      </c>
      <c r="Q705" s="15" t="inlineStr">
        <is>
          <t>Idea</t>
        </is>
      </c>
      <c r="R705" s="48">
        <f>INDEX('Start Here'!$B$10:$B$16,WEEKDAY(C705,2))</f>
        <v/>
      </c>
      <c r="S705" s="48">
        <f>MOD(R705+'Start Here'!$B$6/24,1)</f>
        <v/>
      </c>
      <c r="T705" s="15" t="n"/>
      <c r="U705" s="15" t="n"/>
      <c r="V705" s="15" t="n"/>
      <c r="W705" s="15" t="n"/>
      <c r="X705" s="20" t="n"/>
      <c r="Y705" s="15" t="n"/>
    </row>
    <row r="706">
      <c r="A706" s="15" t="n">
        <v>705</v>
      </c>
      <c r="B706" s="16">
        <f>INT((A706-1)/7)+1</f>
        <v/>
      </c>
      <c r="C706" s="47">
        <f>'Start Here'!$B$5+A706-1</f>
        <v/>
      </c>
      <c r="D706" s="16">
        <f>TEXT(C706,"ddd")</f>
        <v/>
      </c>
      <c r="E706" s="15" t="inlineStr">
        <is>
          <t>Story Season</t>
        </is>
      </c>
      <c r="F706" s="18" t="inlineStr">
        <is>
          <t>🧠 Educational Stories</t>
        </is>
      </c>
      <c r="G706" s="15" t="n">
        <v>53</v>
      </c>
      <c r="H706" s="15" t="inlineStr">
        <is>
          <t>The Day Max Helped a New Student</t>
        </is>
      </c>
      <c r="I706" s="15" t="inlineStr">
        <is>
          <t>The Day Leo Helped a New Student 🧠 | Kids Stories | Tiny Sparks</t>
        </is>
      </c>
      <c r="J706" s="15" t="inlineStr">
        <is>
          <t>3–5</t>
        </is>
      </c>
      <c r="K706" s="15" t="inlineStr">
        <is>
          <t>Long 16:9 + Short teaser</t>
        </is>
      </c>
      <c r="L706" s="15" t="inlineStr">
        <is>
          <t>3–5 min (Short: 50 s)</t>
        </is>
      </c>
      <c r="M706" s="15" t="inlineStr">
        <is>
          <t>Leo (lead) · Mila, Leo, Bobo + narrator</t>
        </is>
      </c>
      <c r="N706" s="15" t="inlineStr">
        <is>
          <t>Life skill: helping others</t>
        </is>
      </c>
      <c r="O706" s="15" t="inlineStr">
        <is>
          <t>Yes</t>
        </is>
      </c>
      <c r="P706" s="15" t="inlineStr">
        <is>
          <t>P3</t>
        </is>
      </c>
      <c r="Q706" s="15" t="inlineStr">
        <is>
          <t>Idea</t>
        </is>
      </c>
      <c r="R706" s="48">
        <f>INDEX('Start Here'!$B$10:$B$16,WEEKDAY(C706,2))</f>
        <v/>
      </c>
      <c r="S706" s="48">
        <f>MOD(R706+'Start Here'!$B$6/24,1)</f>
        <v/>
      </c>
      <c r="T706" s="15" t="n"/>
      <c r="U706" s="15" t="n"/>
      <c r="V706" s="15" t="n"/>
      <c r="W706" s="15" t="n"/>
      <c r="X706" s="20" t="n"/>
      <c r="Y706" s="15" t="n"/>
    </row>
    <row r="707">
      <c r="A707" s="15" t="n">
        <v>706</v>
      </c>
      <c r="B707" s="16">
        <f>INT((A707-1)/7)+1</f>
        <v/>
      </c>
      <c r="C707" s="47">
        <f>'Start Here'!$B$5+A707-1</f>
        <v/>
      </c>
      <c r="D707" s="16">
        <f>TEXT(C707,"ddd")</f>
        <v/>
      </c>
      <c r="E707" s="15" t="inlineStr">
        <is>
          <t>Story Season</t>
        </is>
      </c>
      <c r="F707" s="27" t="inlineStr">
        <is>
          <t>📚 Moral Stories</t>
        </is>
      </c>
      <c r="G707" s="15" t="n">
        <v>53</v>
      </c>
      <c r="H707" s="15" t="inlineStr">
        <is>
          <t>The Turtle Who Tried Again</t>
        </is>
      </c>
      <c r="I707" s="15" t="inlineStr">
        <is>
          <t>The Turtle Who Tried Again 📚 | Moral Stories for Kids | Tiny Sparks</t>
        </is>
      </c>
      <c r="J707" s="15" t="inlineStr">
        <is>
          <t>3–5</t>
        </is>
      </c>
      <c r="K707" s="15" t="inlineStr">
        <is>
          <t>Long 16:9 + Short teaser</t>
        </is>
      </c>
      <c r="L707" s="15" t="inlineStr">
        <is>
          <t>3–5 min (Short: 50 s)</t>
        </is>
      </c>
      <c r="M707" s="15" t="inlineStr">
        <is>
          <t>narrator + guest animals / Mila &amp; Leo</t>
        </is>
      </c>
      <c r="N707" s="15" t="inlineStr">
        <is>
          <t>Value: perseverance</t>
        </is>
      </c>
      <c r="O707" s="15" t="inlineStr">
        <is>
          <t>Build first: turtle</t>
        </is>
      </c>
      <c r="P707" s="15" t="inlineStr">
        <is>
          <t>P3</t>
        </is>
      </c>
      <c r="Q707" s="15" t="inlineStr">
        <is>
          <t>Idea</t>
        </is>
      </c>
      <c r="R707" s="48">
        <f>INDEX('Start Here'!$B$10:$B$16,WEEKDAY(C707,2))</f>
        <v/>
      </c>
      <c r="S707" s="48">
        <f>MOD(R707+'Start Here'!$B$6/24,1)</f>
        <v/>
      </c>
      <c r="T707" s="15" t="n"/>
      <c r="U707" s="15" t="n"/>
      <c r="V707" s="15" t="n"/>
      <c r="W707" s="15" t="n"/>
      <c r="X707" s="20" t="n"/>
      <c r="Y707" s="15" t="n"/>
    </row>
    <row r="708">
      <c r="A708" s="15" t="n">
        <v>707</v>
      </c>
      <c r="B708" s="16">
        <f>INT((A708-1)/7)+1</f>
        <v/>
      </c>
      <c r="C708" s="47">
        <f>'Start Here'!$B$5+A708-1</f>
        <v/>
      </c>
      <c r="D708" s="16">
        <f>TEXT(C708,"ddd")</f>
        <v/>
      </c>
      <c r="E708" s="15" t="inlineStr">
        <is>
          <t>Story Season</t>
        </is>
      </c>
      <c r="F708" s="18" t="inlineStr">
        <is>
          <t>🧠 Educational Stories</t>
        </is>
      </c>
      <c r="G708" s="15" t="n">
        <v>54</v>
      </c>
      <c r="H708" s="15" t="inlineStr">
        <is>
          <t>Sara Learns to Organize Her Time</t>
        </is>
      </c>
      <c r="I708" s="15" t="inlineStr">
        <is>
          <t>Mila Learns to Organize Her Time 🧠 | Kids Stories | Tiny Sparks</t>
        </is>
      </c>
      <c r="J708" s="15" t="inlineStr">
        <is>
          <t>6–8</t>
        </is>
      </c>
      <c r="K708" s="15" t="inlineStr">
        <is>
          <t>Long 16:9 + Short teaser</t>
        </is>
      </c>
      <c r="L708" s="15" t="inlineStr">
        <is>
          <t>3–5 min (Short: 50 s)</t>
        </is>
      </c>
      <c r="M708" s="15" t="inlineStr">
        <is>
          <t>Mila (lead) · Mila, Leo, Bobo + narrator</t>
        </is>
      </c>
      <c r="N708" s="15" t="inlineStr">
        <is>
          <t>Life skill: Organize Her Time</t>
        </is>
      </c>
      <c r="O708" s="15" t="inlineStr">
        <is>
          <t>Yes</t>
        </is>
      </c>
      <c r="P708" s="15" t="inlineStr">
        <is>
          <t>P3</t>
        </is>
      </c>
      <c r="Q708" s="15" t="inlineStr">
        <is>
          <t>Idea</t>
        </is>
      </c>
      <c r="R708" s="48">
        <f>INDEX('Start Here'!$B$10:$B$16,WEEKDAY(C708,2))</f>
        <v/>
      </c>
      <c r="S708" s="48">
        <f>MOD(R708+'Start Here'!$B$6/24,1)</f>
        <v/>
      </c>
      <c r="T708" s="15" t="n"/>
      <c r="U708" s="15" t="n"/>
      <c r="V708" s="15" t="n"/>
      <c r="W708" s="15" t="n"/>
      <c r="X708" s="20" t="n"/>
      <c r="Y708" s="15" t="n"/>
    </row>
    <row r="709">
      <c r="A709" s="15" t="n">
        <v>708</v>
      </c>
      <c r="B709" s="16">
        <f>INT((A709-1)/7)+1</f>
        <v/>
      </c>
      <c r="C709" s="47">
        <f>'Start Here'!$B$5+A709-1</f>
        <v/>
      </c>
      <c r="D709" s="16">
        <f>TEXT(C709,"ddd")</f>
        <v/>
      </c>
      <c r="E709" s="15" t="inlineStr">
        <is>
          <t>Story Season</t>
        </is>
      </c>
      <c r="F709" s="27" t="inlineStr">
        <is>
          <t>📚 Moral Stories</t>
        </is>
      </c>
      <c r="G709" s="15" t="n">
        <v>54</v>
      </c>
      <c r="H709" s="15" t="inlineStr">
        <is>
          <t>The Little Bird's First Flight</t>
        </is>
      </c>
      <c r="I709" s="15" t="inlineStr">
        <is>
          <t>The Little Bird's First Flight 📚 | Moral Stories for Kids | Tiny Sparks</t>
        </is>
      </c>
      <c r="J709" s="15" t="inlineStr">
        <is>
          <t>3–5</t>
        </is>
      </c>
      <c r="K709" s="15" t="inlineStr">
        <is>
          <t>Long 16:9 + Short teaser</t>
        </is>
      </c>
      <c r="L709" s="15" t="inlineStr">
        <is>
          <t>3–5 min (Short: 50 s)</t>
        </is>
      </c>
      <c r="M709" s="15" t="inlineStr">
        <is>
          <t>narrator + guest animals / Mila &amp; Leo</t>
        </is>
      </c>
      <c r="N709" s="15" t="inlineStr">
        <is>
          <t>Value: kindness</t>
        </is>
      </c>
      <c r="O709" s="15" t="inlineStr">
        <is>
          <t>Build first: bird</t>
        </is>
      </c>
      <c r="P709" s="15" t="inlineStr">
        <is>
          <t>P3</t>
        </is>
      </c>
      <c r="Q709" s="15" t="inlineStr">
        <is>
          <t>Idea</t>
        </is>
      </c>
      <c r="R709" s="48">
        <f>INDEX('Start Here'!$B$10:$B$16,WEEKDAY(C709,2))</f>
        <v/>
      </c>
      <c r="S709" s="48">
        <f>MOD(R709+'Start Here'!$B$6/24,1)</f>
        <v/>
      </c>
      <c r="T709" s="15" t="n"/>
      <c r="U709" s="15" t="n"/>
      <c r="V709" s="15" t="n"/>
      <c r="W709" s="15" t="n"/>
      <c r="X709" s="20" t="n"/>
      <c r="Y709" s="15" t="n"/>
    </row>
    <row r="710">
      <c r="A710" s="15" t="n">
        <v>709</v>
      </c>
      <c r="B710" s="16">
        <f>INT((A710-1)/7)+1</f>
        <v/>
      </c>
      <c r="C710" s="47">
        <f>'Start Here'!$B$5+A710-1</f>
        <v/>
      </c>
      <c r="D710" s="16">
        <f>TEXT(C710,"ddd")</f>
        <v/>
      </c>
      <c r="E710" s="15" t="inlineStr">
        <is>
          <t>Story Season</t>
        </is>
      </c>
      <c r="F710" s="18" t="inlineStr">
        <is>
          <t>🧠 Educational Stories</t>
        </is>
      </c>
      <c r="G710" s="15" t="n">
        <v>55</v>
      </c>
      <c r="H710" s="15" t="inlineStr">
        <is>
          <t>The Adventure of the Forgotten Homework</t>
        </is>
      </c>
      <c r="I710" s="15" t="inlineStr">
        <is>
          <t>The Adventure of the Forgotten Homework 🧠 | Kids Stories | Tiny Sparks</t>
        </is>
      </c>
      <c r="J710" s="15" t="inlineStr">
        <is>
          <t>3–5</t>
        </is>
      </c>
      <c r="K710" s="15" t="inlineStr">
        <is>
          <t>Long 16:9 + Short teaser</t>
        </is>
      </c>
      <c r="L710" s="15" t="inlineStr">
        <is>
          <t>3–5 min (Short: 50 s)</t>
        </is>
      </c>
      <c r="M710" s="15" t="inlineStr">
        <is>
          <t>Mila, Leo, Bobo + narrator</t>
        </is>
      </c>
      <c r="N710" s="15" t="inlineStr">
        <is>
          <t>Curiosity + problem solving</t>
        </is>
      </c>
      <c r="O710" s="15" t="inlineStr">
        <is>
          <t>Yes</t>
        </is>
      </c>
      <c r="P710" s="15" t="inlineStr">
        <is>
          <t>P3</t>
        </is>
      </c>
      <c r="Q710" s="15" t="inlineStr">
        <is>
          <t>Idea</t>
        </is>
      </c>
      <c r="R710" s="48">
        <f>INDEX('Start Here'!$B$10:$B$16,WEEKDAY(C710,2))</f>
        <v/>
      </c>
      <c r="S710" s="48">
        <f>MOD(R710+'Start Here'!$B$6/24,1)</f>
        <v/>
      </c>
      <c r="T710" s="15" t="n"/>
      <c r="U710" s="15" t="n"/>
      <c r="V710" s="15" t="n"/>
      <c r="W710" s="15" t="n"/>
      <c r="X710" s="20" t="n"/>
      <c r="Y710" s="15" t="n"/>
    </row>
    <row r="711">
      <c r="A711" s="15" t="n">
        <v>710</v>
      </c>
      <c r="B711" s="16">
        <f>INT((A711-1)/7)+1</f>
        <v/>
      </c>
      <c r="C711" s="47">
        <f>'Start Here'!$B$5+A711-1</f>
        <v/>
      </c>
      <c r="D711" s="16">
        <f>TEXT(C711,"ddd")</f>
        <v/>
      </c>
      <c r="E711" s="15" t="inlineStr">
        <is>
          <t>Story Season</t>
        </is>
      </c>
      <c r="F711" s="27" t="inlineStr">
        <is>
          <t>📚 Moral Stories</t>
        </is>
      </c>
      <c r="G711" s="15" t="n">
        <v>55</v>
      </c>
      <c r="H711" s="15" t="inlineStr">
        <is>
          <t>The Young Inventor</t>
        </is>
      </c>
      <c r="I711" s="15" t="inlineStr">
        <is>
          <t>The Young Inventor 📚 | Moral Stories for Kids | Tiny Sparks</t>
        </is>
      </c>
      <c r="J711" s="15" t="inlineStr">
        <is>
          <t>6–8</t>
        </is>
      </c>
      <c r="K711" s="15" t="inlineStr">
        <is>
          <t>Long 16:9 + Short teaser</t>
        </is>
      </c>
      <c r="L711" s="15" t="inlineStr">
        <is>
          <t>3–5 min (Short: 50 s)</t>
        </is>
      </c>
      <c r="M711" s="15" t="inlineStr">
        <is>
          <t>narrator + guest animals / Mila &amp; Leo</t>
        </is>
      </c>
      <c r="N711" s="15" t="inlineStr">
        <is>
          <t>Value: kindness</t>
        </is>
      </c>
      <c r="O711" s="15" t="inlineStr">
        <is>
          <t>Yes</t>
        </is>
      </c>
      <c r="P711" s="15" t="inlineStr">
        <is>
          <t>P3</t>
        </is>
      </c>
      <c r="Q711" s="15" t="inlineStr">
        <is>
          <t>Idea</t>
        </is>
      </c>
      <c r="R711" s="48">
        <f>INDEX('Start Here'!$B$10:$B$16,WEEKDAY(C711,2))</f>
        <v/>
      </c>
      <c r="S711" s="48">
        <f>MOD(R711+'Start Here'!$B$6/24,1)</f>
        <v/>
      </c>
      <c r="T711" s="15" t="n"/>
      <c r="U711" s="15" t="n"/>
      <c r="V711" s="15" t="n"/>
      <c r="W711" s="15" t="n"/>
      <c r="X711" s="20" t="n"/>
      <c r="Y711" s="15" t="n"/>
    </row>
    <row r="712">
      <c r="A712" s="15" t="n">
        <v>711</v>
      </c>
      <c r="B712" s="16">
        <f>INT((A712-1)/7)+1</f>
        <v/>
      </c>
      <c r="C712" s="47">
        <f>'Start Here'!$B$5+A712-1</f>
        <v/>
      </c>
      <c r="D712" s="16">
        <f>TEXT(C712,"ddd")</f>
        <v/>
      </c>
      <c r="E712" s="15" t="inlineStr">
        <is>
          <t>Story Season</t>
        </is>
      </c>
      <c r="F712" s="18" t="inlineStr">
        <is>
          <t>🧠 Educational Stories</t>
        </is>
      </c>
      <c r="G712" s="15" t="n">
        <v>56</v>
      </c>
      <c r="H712" s="15" t="inlineStr">
        <is>
          <t>Tommy Learns About Responsibility</t>
        </is>
      </c>
      <c r="I712" s="15" t="inlineStr">
        <is>
          <t>Leo Learns About Responsibility 🧠 | Kids Stories | Tiny Sparks</t>
        </is>
      </c>
      <c r="J712" s="15" t="inlineStr">
        <is>
          <t>3–5</t>
        </is>
      </c>
      <c r="K712" s="15" t="inlineStr">
        <is>
          <t>Long 16:9 + Short teaser</t>
        </is>
      </c>
      <c r="L712" s="15" t="inlineStr">
        <is>
          <t>3–5 min (Short: 50 s)</t>
        </is>
      </c>
      <c r="M712" s="15" t="inlineStr">
        <is>
          <t>Leo (lead) · Mila, Leo, Bobo + narrator</t>
        </is>
      </c>
      <c r="N712" s="15" t="inlineStr">
        <is>
          <t>Life skill: Responsibility</t>
        </is>
      </c>
      <c r="O712" s="15" t="inlineStr">
        <is>
          <t>Yes</t>
        </is>
      </c>
      <c r="P712" s="15" t="inlineStr">
        <is>
          <t>P3</t>
        </is>
      </c>
      <c r="Q712" s="15" t="inlineStr">
        <is>
          <t>Idea</t>
        </is>
      </c>
      <c r="R712" s="48">
        <f>INDEX('Start Here'!$B$10:$B$16,WEEKDAY(C712,2))</f>
        <v/>
      </c>
      <c r="S712" s="48">
        <f>MOD(R712+'Start Here'!$B$6/24,1)</f>
        <v/>
      </c>
      <c r="T712" s="15" t="n"/>
      <c r="U712" s="15" t="n"/>
      <c r="V712" s="15" t="n"/>
      <c r="W712" s="15" t="n"/>
      <c r="X712" s="20" t="n"/>
      <c r="Y712" s="15" t="n"/>
    </row>
    <row r="713">
      <c r="A713" s="15" t="n">
        <v>712</v>
      </c>
      <c r="B713" s="16">
        <f>INT((A713-1)/7)+1</f>
        <v/>
      </c>
      <c r="C713" s="47">
        <f>'Start Here'!$B$5+A713-1</f>
        <v/>
      </c>
      <c r="D713" s="16">
        <f>TEXT(C713,"ddd")</f>
        <v/>
      </c>
      <c r="E713" s="15" t="inlineStr">
        <is>
          <t>Story Season</t>
        </is>
      </c>
      <c r="F713" s="27" t="inlineStr">
        <is>
          <t>📚 Moral Stories</t>
        </is>
      </c>
      <c r="G713" s="15" t="n">
        <v>56</v>
      </c>
      <c r="H713" s="15" t="inlineStr">
        <is>
          <t>The Brave Little Rabbit</t>
        </is>
      </c>
      <c r="I713" s="15" t="inlineStr">
        <is>
          <t>The Brave Little Rabbit 📚 | Moral Stories for Kids | Tiny Sparks</t>
        </is>
      </c>
      <c r="J713" s="15" t="inlineStr">
        <is>
          <t>3–5</t>
        </is>
      </c>
      <c r="K713" s="15" t="inlineStr">
        <is>
          <t>Long 16:9 + Short teaser</t>
        </is>
      </c>
      <c r="L713" s="15" t="inlineStr">
        <is>
          <t>3–5 min (Short: 50 s)</t>
        </is>
      </c>
      <c r="M713" s="15" t="inlineStr">
        <is>
          <t>narrator + guest animals / Mila &amp; Leo</t>
        </is>
      </c>
      <c r="N713" s="15" t="inlineStr">
        <is>
          <t>Value: courage</t>
        </is>
      </c>
      <c r="O713" s="15" t="inlineStr">
        <is>
          <t>Yes</t>
        </is>
      </c>
      <c r="P713" s="15" t="inlineStr">
        <is>
          <t>P3</t>
        </is>
      </c>
      <c r="Q713" s="15" t="inlineStr">
        <is>
          <t>Idea</t>
        </is>
      </c>
      <c r="R713" s="48">
        <f>INDEX('Start Here'!$B$10:$B$16,WEEKDAY(C713,2))</f>
        <v/>
      </c>
      <c r="S713" s="48">
        <f>MOD(R713+'Start Here'!$B$6/24,1)</f>
        <v/>
      </c>
      <c r="T713" s="15" t="n"/>
      <c r="U713" s="15" t="n"/>
      <c r="V713" s="15" t="n"/>
      <c r="W713" s="15" t="n"/>
      <c r="X713" s="20" t="n"/>
      <c r="Y713" s="15" t="n"/>
    </row>
    <row r="714">
      <c r="A714" s="15" t="n">
        <v>713</v>
      </c>
      <c r="B714" s="16">
        <f>INT((A714-1)/7)+1</f>
        <v/>
      </c>
      <c r="C714" s="47">
        <f>'Start Here'!$B$5+A714-1</f>
        <v/>
      </c>
      <c r="D714" s="16">
        <f>TEXT(C714,"ddd")</f>
        <v/>
      </c>
      <c r="E714" s="15" t="inlineStr">
        <is>
          <t>Story Season</t>
        </is>
      </c>
      <c r="F714" s="18" t="inlineStr">
        <is>
          <t>🧠 Educational Stories</t>
        </is>
      </c>
      <c r="G714" s="15" t="n">
        <v>57</v>
      </c>
      <c r="H714" s="15" t="inlineStr">
        <is>
          <t>The Friendly Cloud's Lesson</t>
        </is>
      </c>
      <c r="I714" s="15" t="inlineStr">
        <is>
          <t>The Friendly Cloud's Lesson 🧠 | Kids Stories | Tiny Sparks</t>
        </is>
      </c>
      <c r="J714" s="15" t="inlineStr">
        <is>
          <t>3–5</t>
        </is>
      </c>
      <c r="K714" s="15" t="inlineStr">
        <is>
          <t>Long 16:9 + Short teaser</t>
        </is>
      </c>
      <c r="L714" s="15" t="inlineStr">
        <is>
          <t>3–5 min (Short: 50 s)</t>
        </is>
      </c>
      <c r="M714" s="15" t="inlineStr">
        <is>
          <t>Mila, Leo, Bobo + narrator</t>
        </is>
      </c>
      <c r="N714" s="15" t="inlineStr">
        <is>
          <t>Life skill: friendship</t>
        </is>
      </c>
      <c r="O714" s="15" t="inlineStr">
        <is>
          <t>Yes</t>
        </is>
      </c>
      <c r="P714" s="15" t="inlineStr">
        <is>
          <t>P3</t>
        </is>
      </c>
      <c r="Q714" s="15" t="inlineStr">
        <is>
          <t>Idea</t>
        </is>
      </c>
      <c r="R714" s="48">
        <f>INDEX('Start Here'!$B$10:$B$16,WEEKDAY(C714,2))</f>
        <v/>
      </c>
      <c r="S714" s="48">
        <f>MOD(R714+'Start Here'!$B$6/24,1)</f>
        <v/>
      </c>
      <c r="T714" s="15" t="n"/>
      <c r="U714" s="15" t="n"/>
      <c r="V714" s="15" t="n"/>
      <c r="W714" s="15" t="n"/>
      <c r="X714" s="20" t="n"/>
      <c r="Y714" s="15" t="n"/>
    </row>
    <row r="715">
      <c r="A715" s="15" t="n">
        <v>714</v>
      </c>
      <c r="B715" s="16">
        <f>INT((A715-1)/7)+1</f>
        <v/>
      </c>
      <c r="C715" s="47">
        <f>'Start Here'!$B$5+A715-1</f>
        <v/>
      </c>
      <c r="D715" s="16">
        <f>TEXT(C715,"ddd")</f>
        <v/>
      </c>
      <c r="E715" s="15" t="inlineStr">
        <is>
          <t>Story Season</t>
        </is>
      </c>
      <c r="F715" s="27" t="inlineStr">
        <is>
          <t>📚 Moral Stories</t>
        </is>
      </c>
      <c r="G715" s="15" t="n">
        <v>57</v>
      </c>
      <c r="H715" s="15" t="inlineStr">
        <is>
          <t>The Boy Who Learned From Failure</t>
        </is>
      </c>
      <c r="I715" s="15" t="inlineStr">
        <is>
          <t>The Boy Who Learned From Failure 📚 | Moral Stories for Kids | Tiny Sparks</t>
        </is>
      </c>
      <c r="J715" s="15" t="inlineStr">
        <is>
          <t>3–5</t>
        </is>
      </c>
      <c r="K715" s="15" t="inlineStr">
        <is>
          <t>Long 16:9 + Short teaser</t>
        </is>
      </c>
      <c r="L715" s="15" t="inlineStr">
        <is>
          <t>3–5 min (Short: 50 s)</t>
        </is>
      </c>
      <c r="M715" s="15" t="inlineStr">
        <is>
          <t>narrator + guest animals / Mila &amp; Leo</t>
        </is>
      </c>
      <c r="N715" s="15" t="inlineStr">
        <is>
          <t>Value: perseverance</t>
        </is>
      </c>
      <c r="O715" s="15" t="inlineStr">
        <is>
          <t>Yes</t>
        </is>
      </c>
      <c r="P715" s="15" t="inlineStr">
        <is>
          <t>P3</t>
        </is>
      </c>
      <c r="Q715" s="15" t="inlineStr">
        <is>
          <t>Idea</t>
        </is>
      </c>
      <c r="R715" s="48">
        <f>INDEX('Start Here'!$B$10:$B$16,WEEKDAY(C715,2))</f>
        <v/>
      </c>
      <c r="S715" s="48">
        <f>MOD(R715+'Start Here'!$B$6/24,1)</f>
        <v/>
      </c>
      <c r="T715" s="15" t="n"/>
      <c r="U715" s="15" t="n"/>
      <c r="V715" s="15" t="n"/>
      <c r="W715" s="15" t="n"/>
      <c r="X715" s="20" t="n"/>
      <c r="Y715" s="15" t="n"/>
    </row>
    <row r="716">
      <c r="A716" s="15" t="n">
        <v>715</v>
      </c>
      <c r="B716" s="16">
        <f>INT((A716-1)/7)+1</f>
        <v/>
      </c>
      <c r="C716" s="47">
        <f>'Start Here'!$B$5+A716-1</f>
        <v/>
      </c>
      <c r="D716" s="16">
        <f>TEXT(C716,"ddd")</f>
        <v/>
      </c>
      <c r="E716" s="15" t="inlineStr">
        <is>
          <t>Story Season</t>
        </is>
      </c>
      <c r="F716" s="18" t="inlineStr">
        <is>
          <t>🧠 Educational Stories</t>
        </is>
      </c>
      <c r="G716" s="15" t="n">
        <v>58</v>
      </c>
      <c r="H716" s="15" t="inlineStr">
        <is>
          <t>Mia Learns Why Exercise Is Important</t>
        </is>
      </c>
      <c r="I716" s="15" t="inlineStr">
        <is>
          <t>Mila Learns Why Exercise Is Important 🧠 | Kids Stories | Tiny Sparks</t>
        </is>
      </c>
      <c r="J716" s="15" t="inlineStr">
        <is>
          <t>3–5</t>
        </is>
      </c>
      <c r="K716" s="15" t="inlineStr">
        <is>
          <t>Long 16:9 + Short teaser</t>
        </is>
      </c>
      <c r="L716" s="15" t="inlineStr">
        <is>
          <t>3–5 min (Short: 50 s)</t>
        </is>
      </c>
      <c r="M716" s="15" t="inlineStr">
        <is>
          <t>Mila (lead) · Mila, Leo, Bobo + narrator</t>
        </is>
      </c>
      <c r="N716" s="15" t="inlineStr">
        <is>
          <t>Life skill: Exercise Is Important</t>
        </is>
      </c>
      <c r="O716" s="15" t="inlineStr">
        <is>
          <t>Yes</t>
        </is>
      </c>
      <c r="P716" s="15" t="inlineStr">
        <is>
          <t>P3</t>
        </is>
      </c>
      <c r="Q716" s="15" t="inlineStr">
        <is>
          <t>Idea</t>
        </is>
      </c>
      <c r="R716" s="48">
        <f>INDEX('Start Here'!$B$10:$B$16,WEEKDAY(C716,2))</f>
        <v/>
      </c>
      <c r="S716" s="48">
        <f>MOD(R716+'Start Here'!$B$6/24,1)</f>
        <v/>
      </c>
      <c r="T716" s="15" t="n"/>
      <c r="U716" s="15" t="n"/>
      <c r="V716" s="15" t="n"/>
      <c r="W716" s="15" t="n"/>
      <c r="X716" s="20" t="n"/>
      <c r="Y716" s="15" t="n"/>
    </row>
    <row r="717">
      <c r="A717" s="15" t="n">
        <v>716</v>
      </c>
      <c r="B717" s="16">
        <f>INT((A717-1)/7)+1</f>
        <v/>
      </c>
      <c r="C717" s="47">
        <f>'Start Here'!$B$5+A717-1</f>
        <v/>
      </c>
      <c r="D717" s="16">
        <f>TEXT(C717,"ddd")</f>
        <v/>
      </c>
      <c r="E717" s="15" t="inlineStr">
        <is>
          <t>Story Season</t>
        </is>
      </c>
      <c r="F717" s="27" t="inlineStr">
        <is>
          <t>📚 Moral Stories</t>
        </is>
      </c>
      <c r="G717" s="15" t="n">
        <v>58</v>
      </c>
      <c r="H717" s="15" t="inlineStr">
        <is>
          <t>The Girl Who Never Gave Up</t>
        </is>
      </c>
      <c r="I717" s="15" t="inlineStr">
        <is>
          <t>The Girl Who Never Gave Up 📚 | Moral Stories for Kids | Tiny Sparks</t>
        </is>
      </c>
      <c r="J717" s="15" t="inlineStr">
        <is>
          <t>3–5</t>
        </is>
      </c>
      <c r="K717" s="15" t="inlineStr">
        <is>
          <t>Long 16:9 + Short teaser</t>
        </is>
      </c>
      <c r="L717" s="15" t="inlineStr">
        <is>
          <t>3–5 min (Short: 50 s)</t>
        </is>
      </c>
      <c r="M717" s="15" t="inlineStr">
        <is>
          <t>narrator + guest animals / Mila &amp; Leo</t>
        </is>
      </c>
      <c r="N717" s="15" t="inlineStr">
        <is>
          <t>Value: perseverance</t>
        </is>
      </c>
      <c r="O717" s="15" t="inlineStr">
        <is>
          <t>Yes</t>
        </is>
      </c>
      <c r="P717" s="15" t="inlineStr">
        <is>
          <t>P3</t>
        </is>
      </c>
      <c r="Q717" s="15" t="inlineStr">
        <is>
          <t>Idea</t>
        </is>
      </c>
      <c r="R717" s="48">
        <f>INDEX('Start Here'!$B$10:$B$16,WEEKDAY(C717,2))</f>
        <v/>
      </c>
      <c r="S717" s="48">
        <f>MOD(R717+'Start Here'!$B$6/24,1)</f>
        <v/>
      </c>
      <c r="T717" s="15" t="n"/>
      <c r="U717" s="15" t="n"/>
      <c r="V717" s="15" t="n"/>
      <c r="W717" s="15" t="n"/>
      <c r="X717" s="20" t="n"/>
      <c r="Y717" s="15" t="n"/>
    </row>
    <row r="718">
      <c r="A718" s="15" t="n">
        <v>717</v>
      </c>
      <c r="B718" s="16">
        <f>INT((A718-1)/7)+1</f>
        <v/>
      </c>
      <c r="C718" s="47">
        <f>'Start Here'!$B$5+A718-1</f>
        <v/>
      </c>
      <c r="D718" s="16">
        <f>TEXT(C718,"ddd")</f>
        <v/>
      </c>
      <c r="E718" s="15" t="inlineStr">
        <is>
          <t>Story Season</t>
        </is>
      </c>
      <c r="F718" s="18" t="inlineStr">
        <is>
          <t>🧠 Educational Stories</t>
        </is>
      </c>
      <c r="G718" s="15" t="n">
        <v>59</v>
      </c>
      <c r="H718" s="15" t="inlineStr">
        <is>
          <t>The Little Chef Learns About Healthy Food</t>
        </is>
      </c>
      <c r="I718" s="15" t="inlineStr">
        <is>
          <t>The Little Chef Learns About Healthy Food 🧠 | Kids Stories | Tiny Sparks</t>
        </is>
      </c>
      <c r="J718" s="15" t="inlineStr">
        <is>
          <t>3–5</t>
        </is>
      </c>
      <c r="K718" s="15" t="inlineStr">
        <is>
          <t>Long 16:9 + Short teaser</t>
        </is>
      </c>
      <c r="L718" s="15" t="inlineStr">
        <is>
          <t>3–5 min (Short: 50 s)</t>
        </is>
      </c>
      <c r="M718" s="15" t="inlineStr">
        <is>
          <t>Mila, Leo, Bobo + narrator</t>
        </is>
      </c>
      <c r="N718" s="15" t="inlineStr">
        <is>
          <t>Life skill: Healthy Food</t>
        </is>
      </c>
      <c r="O718" s="15" t="inlineStr">
        <is>
          <t>Yes</t>
        </is>
      </c>
      <c r="P718" s="15" t="inlineStr">
        <is>
          <t>P3</t>
        </is>
      </c>
      <c r="Q718" s="15" t="inlineStr">
        <is>
          <t>Idea</t>
        </is>
      </c>
      <c r="R718" s="48">
        <f>INDEX('Start Here'!$B$10:$B$16,WEEKDAY(C718,2))</f>
        <v/>
      </c>
      <c r="S718" s="48">
        <f>MOD(R718+'Start Here'!$B$6/24,1)</f>
        <v/>
      </c>
      <c r="T718" s="15" t="n"/>
      <c r="U718" s="15" t="n"/>
      <c r="V718" s="15" t="n"/>
      <c r="W718" s="15" t="n"/>
      <c r="X718" s="20" t="n"/>
      <c r="Y718" s="15" t="n"/>
    </row>
    <row r="719">
      <c r="A719" s="15" t="n">
        <v>718</v>
      </c>
      <c r="B719" s="16">
        <f>INT((A719-1)/7)+1</f>
        <v/>
      </c>
      <c r="C719" s="47">
        <f>'Start Here'!$B$5+A719-1</f>
        <v/>
      </c>
      <c r="D719" s="16">
        <f>TEXT(C719,"ddd")</f>
        <v/>
      </c>
      <c r="E719" s="15" t="inlineStr">
        <is>
          <t>Story Season</t>
        </is>
      </c>
      <c r="F719" s="27" t="inlineStr">
        <is>
          <t>📚 Moral Stories</t>
        </is>
      </c>
      <c r="G719" s="15" t="n">
        <v>59</v>
      </c>
      <c r="H719" s="15" t="inlineStr">
        <is>
          <t>The Broken Toy</t>
        </is>
      </c>
      <c r="I719" s="15" t="inlineStr">
        <is>
          <t>The Broken Toy 📚 | Moral Stories for Kids | Tiny Sparks</t>
        </is>
      </c>
      <c r="J719" s="15" t="inlineStr">
        <is>
          <t>3–5</t>
        </is>
      </c>
      <c r="K719" s="15" t="inlineStr">
        <is>
          <t>Long 16:9 + Short teaser</t>
        </is>
      </c>
      <c r="L719" s="15" t="inlineStr">
        <is>
          <t>3–5 min (Short: 50 s)</t>
        </is>
      </c>
      <c r="M719" s="15" t="inlineStr">
        <is>
          <t>narrator + guest animals / Mila &amp; Leo</t>
        </is>
      </c>
      <c r="N719" s="15" t="inlineStr">
        <is>
          <t>Value: kindness</t>
        </is>
      </c>
      <c r="O719" s="15" t="inlineStr">
        <is>
          <t>Yes</t>
        </is>
      </c>
      <c r="P719" s="15" t="inlineStr">
        <is>
          <t>P3</t>
        </is>
      </c>
      <c r="Q719" s="15" t="inlineStr">
        <is>
          <t>Idea</t>
        </is>
      </c>
      <c r="R719" s="48">
        <f>INDEX('Start Here'!$B$10:$B$16,WEEKDAY(C719,2))</f>
        <v/>
      </c>
      <c r="S719" s="48">
        <f>MOD(R719+'Start Here'!$B$6/24,1)</f>
        <v/>
      </c>
      <c r="T719" s="15" t="n"/>
      <c r="U719" s="15" t="n"/>
      <c r="V719" s="15" t="n"/>
      <c r="W719" s="15" t="n"/>
      <c r="X719" s="20" t="n"/>
      <c r="Y719" s="15" t="n"/>
    </row>
    <row r="720">
      <c r="A720" s="15" t="n">
        <v>719</v>
      </c>
      <c r="B720" s="16">
        <f>INT((A720-1)/7)+1</f>
        <v/>
      </c>
      <c r="C720" s="47">
        <f>'Start Here'!$B$5+A720-1</f>
        <v/>
      </c>
      <c r="D720" s="16">
        <f>TEXT(C720,"ddd")</f>
        <v/>
      </c>
      <c r="E720" s="15" t="inlineStr">
        <is>
          <t>Story Season</t>
        </is>
      </c>
      <c r="F720" s="18" t="inlineStr">
        <is>
          <t>🧠 Educational Stories</t>
        </is>
      </c>
      <c r="G720" s="15" t="n">
        <v>60</v>
      </c>
      <c r="H720" s="15" t="inlineStr">
        <is>
          <t>Benny's First Camping Adventure</t>
        </is>
      </c>
      <c r="I720" s="15" t="inlineStr">
        <is>
          <t>Bobo's First Camping Adventure 🧠 | Kids Stories | Tiny Sparks</t>
        </is>
      </c>
      <c r="J720" s="15" t="inlineStr">
        <is>
          <t>3–5</t>
        </is>
      </c>
      <c r="K720" s="15" t="inlineStr">
        <is>
          <t>Long 16:9 + Short teaser</t>
        </is>
      </c>
      <c r="L720" s="15" t="inlineStr">
        <is>
          <t>3–5 min (Short: 50 s)</t>
        </is>
      </c>
      <c r="M720" s="15" t="inlineStr">
        <is>
          <t>Bobo (lead) · Mila, Leo, Bobo + narrator</t>
        </is>
      </c>
      <c r="N720" s="15" t="inlineStr">
        <is>
          <t>Curiosity + problem solving</t>
        </is>
      </c>
      <c r="O720" s="15" t="inlineStr">
        <is>
          <t>Yes</t>
        </is>
      </c>
      <c r="P720" s="15" t="inlineStr">
        <is>
          <t>P3</t>
        </is>
      </c>
      <c r="Q720" s="15" t="inlineStr">
        <is>
          <t>Idea</t>
        </is>
      </c>
      <c r="R720" s="48">
        <f>INDEX('Start Here'!$B$10:$B$16,WEEKDAY(C720,2))</f>
        <v/>
      </c>
      <c r="S720" s="48">
        <f>MOD(R720+'Start Here'!$B$6/24,1)</f>
        <v/>
      </c>
      <c r="T720" s="15" t="n"/>
      <c r="U720" s="15" t="n"/>
      <c r="V720" s="15" t="n"/>
      <c r="W720" s="15" t="n"/>
      <c r="X720" s="20" t="n"/>
      <c r="Y720" s="15" t="n"/>
    </row>
    <row r="721">
      <c r="A721" s="15" t="n">
        <v>720</v>
      </c>
      <c r="B721" s="16">
        <f>INT((A721-1)/7)+1</f>
        <v/>
      </c>
      <c r="C721" s="47">
        <f>'Start Here'!$B$5+A721-1</f>
        <v/>
      </c>
      <c r="D721" s="16">
        <f>TEXT(C721,"ddd")</f>
        <v/>
      </c>
      <c r="E721" s="15" t="inlineStr">
        <is>
          <t>Story Season</t>
        </is>
      </c>
      <c r="F721" s="27" t="inlineStr">
        <is>
          <t>📚 Moral Stories</t>
        </is>
      </c>
      <c r="G721" s="15" t="n">
        <v>60</v>
      </c>
      <c r="H721" s="15" t="inlineStr">
        <is>
          <t>The Impossible Puzzle</t>
        </is>
      </c>
      <c r="I721" s="15" t="inlineStr">
        <is>
          <t>The Impossible Puzzle 📚 | Moral Stories for Kids | Tiny Sparks</t>
        </is>
      </c>
      <c r="J721" s="15" t="inlineStr">
        <is>
          <t>3–5</t>
        </is>
      </c>
      <c r="K721" s="15" t="inlineStr">
        <is>
          <t>Long 16:9 + Short teaser</t>
        </is>
      </c>
      <c r="L721" s="15" t="inlineStr">
        <is>
          <t>3–5 min (Short: 50 s)</t>
        </is>
      </c>
      <c r="M721" s="15" t="inlineStr">
        <is>
          <t>narrator + guest animals / Mila &amp; Leo</t>
        </is>
      </c>
      <c r="N721" s="15" t="inlineStr">
        <is>
          <t>Value: kindness</t>
        </is>
      </c>
      <c r="O721" s="15" t="inlineStr">
        <is>
          <t>Yes</t>
        </is>
      </c>
      <c r="P721" s="15" t="inlineStr">
        <is>
          <t>P3</t>
        </is>
      </c>
      <c r="Q721" s="15" t="inlineStr">
        <is>
          <t>Idea</t>
        </is>
      </c>
      <c r="R721" s="48">
        <f>INDEX('Start Here'!$B$10:$B$16,WEEKDAY(C721,2))</f>
        <v/>
      </c>
      <c r="S721" s="48">
        <f>MOD(R721+'Start Here'!$B$6/24,1)</f>
        <v/>
      </c>
      <c r="T721" s="15" t="n"/>
      <c r="U721" s="15" t="n"/>
      <c r="V721" s="15" t="n"/>
      <c r="W721" s="15" t="n"/>
      <c r="X721" s="20" t="n"/>
      <c r="Y721" s="15" t="n"/>
    </row>
    <row r="722">
      <c r="A722" s="15" t="n">
        <v>721</v>
      </c>
      <c r="B722" s="16">
        <f>INT((A722-1)/7)+1</f>
        <v/>
      </c>
      <c r="C722" s="47">
        <f>'Start Here'!$B$5+A722-1</f>
        <v/>
      </c>
      <c r="D722" s="16">
        <f>TEXT(C722,"ddd")</f>
        <v/>
      </c>
      <c r="E722" s="15" t="inlineStr">
        <is>
          <t>Story Season</t>
        </is>
      </c>
      <c r="F722" s="18" t="inlineStr">
        <is>
          <t>🧠 Educational Stories</t>
        </is>
      </c>
      <c r="G722" s="15" t="n">
        <v>61</v>
      </c>
      <c r="H722" s="15" t="inlineStr">
        <is>
          <t>The Mystery of the Noisy Classroom</t>
        </is>
      </c>
      <c r="I722" s="15" t="inlineStr">
        <is>
          <t>The Mystery of the Noisy Classroom 🧠 | Kids Stories | Tiny Sparks</t>
        </is>
      </c>
      <c r="J722" s="15" t="inlineStr">
        <is>
          <t>3–5</t>
        </is>
      </c>
      <c r="K722" s="15" t="inlineStr">
        <is>
          <t>Long 16:9 + Short teaser</t>
        </is>
      </c>
      <c r="L722" s="15" t="inlineStr">
        <is>
          <t>3–5 min (Short: 50 s)</t>
        </is>
      </c>
      <c r="M722" s="15" t="inlineStr">
        <is>
          <t>Mila, Leo, Bobo + narrator</t>
        </is>
      </c>
      <c r="N722" s="15" t="inlineStr">
        <is>
          <t>Curiosity + problem solving</t>
        </is>
      </c>
      <c r="O722" s="15" t="inlineStr">
        <is>
          <t>Yes</t>
        </is>
      </c>
      <c r="P722" s="15" t="inlineStr">
        <is>
          <t>P3</t>
        </is>
      </c>
      <c r="Q722" s="15" t="inlineStr">
        <is>
          <t>Idea</t>
        </is>
      </c>
      <c r="R722" s="48">
        <f>INDEX('Start Here'!$B$10:$B$16,WEEKDAY(C722,2))</f>
        <v/>
      </c>
      <c r="S722" s="48">
        <f>MOD(R722+'Start Here'!$B$6/24,1)</f>
        <v/>
      </c>
      <c r="T722" s="15" t="n"/>
      <c r="U722" s="15" t="n"/>
      <c r="V722" s="15" t="n"/>
      <c r="W722" s="15" t="n"/>
      <c r="X722" s="20" t="n"/>
      <c r="Y722" s="15" t="n"/>
    </row>
    <row r="723">
      <c r="A723" s="15" t="n">
        <v>722</v>
      </c>
      <c r="B723" s="16">
        <f>INT((A723-1)/7)+1</f>
        <v/>
      </c>
      <c r="C723" s="47">
        <f>'Start Here'!$B$5+A723-1</f>
        <v/>
      </c>
      <c r="D723" s="16">
        <f>TEXT(C723,"ddd")</f>
        <v/>
      </c>
      <c r="E723" s="15" t="inlineStr">
        <is>
          <t>Story Season</t>
        </is>
      </c>
      <c r="F723" s="27" t="inlineStr">
        <is>
          <t>📚 Moral Stories</t>
        </is>
      </c>
      <c r="G723" s="15" t="n">
        <v>61</v>
      </c>
      <c r="H723" s="15" t="inlineStr">
        <is>
          <t>The Friend Who Was Left Behind</t>
        </is>
      </c>
      <c r="I723" s="15" t="inlineStr">
        <is>
          <t>The Friend Who Was Left Behind 📚 | Moral Stories for Kids | Tiny Sparks</t>
        </is>
      </c>
      <c r="J723" s="15" t="inlineStr">
        <is>
          <t>3–5</t>
        </is>
      </c>
      <c r="K723" s="15" t="inlineStr">
        <is>
          <t>Long 16:9 + Short teaser</t>
        </is>
      </c>
      <c r="L723" s="15" t="inlineStr">
        <is>
          <t>3–5 min (Short: 50 s)</t>
        </is>
      </c>
      <c r="M723" s="15" t="inlineStr">
        <is>
          <t>narrator + guest animals / Mila &amp; Leo</t>
        </is>
      </c>
      <c r="N723" s="15" t="inlineStr">
        <is>
          <t>Value: including others</t>
        </is>
      </c>
      <c r="O723" s="15" t="inlineStr">
        <is>
          <t>Yes</t>
        </is>
      </c>
      <c r="P723" s="15" t="inlineStr">
        <is>
          <t>P3</t>
        </is>
      </c>
      <c r="Q723" s="15" t="inlineStr">
        <is>
          <t>Idea</t>
        </is>
      </c>
      <c r="R723" s="48">
        <f>INDEX('Start Here'!$B$10:$B$16,WEEKDAY(C723,2))</f>
        <v/>
      </c>
      <c r="S723" s="48">
        <f>MOD(R723+'Start Here'!$B$6/24,1)</f>
        <v/>
      </c>
      <c r="T723" s="15" t="n"/>
      <c r="U723" s="15" t="n"/>
      <c r="V723" s="15" t="n"/>
      <c r="W723" s="15" t="n"/>
      <c r="X723" s="20" t="n"/>
      <c r="Y723" s="15" t="n"/>
    </row>
    <row r="724">
      <c r="A724" s="15" t="n">
        <v>723</v>
      </c>
      <c r="B724" s="16">
        <f>INT((A724-1)/7)+1</f>
        <v/>
      </c>
      <c r="C724" s="47">
        <f>'Start Here'!$B$5+A724-1</f>
        <v/>
      </c>
      <c r="D724" s="16">
        <f>TEXT(C724,"ddd")</f>
        <v/>
      </c>
      <c r="E724" s="15" t="inlineStr">
        <is>
          <t>Story Season</t>
        </is>
      </c>
      <c r="F724" s="18" t="inlineStr">
        <is>
          <t>🧠 Educational Stories</t>
        </is>
      </c>
      <c r="G724" s="15" t="n">
        <v>62</v>
      </c>
      <c r="H724" s="15" t="inlineStr">
        <is>
          <t>Emma Learns About Cooperation</t>
        </is>
      </c>
      <c r="I724" s="15" t="inlineStr">
        <is>
          <t>Mila Learns About Cooperation 🧠 | Kids Stories | Tiny Sparks</t>
        </is>
      </c>
      <c r="J724" s="15" t="inlineStr">
        <is>
          <t>3–5</t>
        </is>
      </c>
      <c r="K724" s="15" t="inlineStr">
        <is>
          <t>Long 16:9 + Short teaser</t>
        </is>
      </c>
      <c r="L724" s="15" t="inlineStr">
        <is>
          <t>3–5 min (Short: 50 s)</t>
        </is>
      </c>
      <c r="M724" s="15" t="inlineStr">
        <is>
          <t>Mila (lead) · Mila, Leo, Bobo + narrator</t>
        </is>
      </c>
      <c r="N724" s="15" t="inlineStr">
        <is>
          <t>Life skill: Cooperation</t>
        </is>
      </c>
      <c r="O724" s="15" t="inlineStr">
        <is>
          <t>Yes</t>
        </is>
      </c>
      <c r="P724" s="15" t="inlineStr">
        <is>
          <t>P3</t>
        </is>
      </c>
      <c r="Q724" s="15" t="inlineStr">
        <is>
          <t>Idea</t>
        </is>
      </c>
      <c r="R724" s="48">
        <f>INDEX('Start Here'!$B$10:$B$16,WEEKDAY(C724,2))</f>
        <v/>
      </c>
      <c r="S724" s="48">
        <f>MOD(R724+'Start Here'!$B$6/24,1)</f>
        <v/>
      </c>
      <c r="T724" s="15" t="n"/>
      <c r="U724" s="15" t="n"/>
      <c r="V724" s="15" t="n"/>
      <c r="W724" s="15" t="n"/>
      <c r="X724" s="20" t="n"/>
      <c r="Y724" s="15" t="n"/>
    </row>
    <row r="725">
      <c r="A725" s="15" t="n">
        <v>724</v>
      </c>
      <c r="B725" s="16">
        <f>INT((A725-1)/7)+1</f>
        <v/>
      </c>
      <c r="C725" s="47">
        <f>'Start Here'!$B$5+A725-1</f>
        <v/>
      </c>
      <c r="D725" s="16">
        <f>TEXT(C725,"ddd")</f>
        <v/>
      </c>
      <c r="E725" s="15" t="inlineStr">
        <is>
          <t>Story Season</t>
        </is>
      </c>
      <c r="F725" s="27" t="inlineStr">
        <is>
          <t>📚 Moral Stories</t>
        </is>
      </c>
      <c r="G725" s="15" t="n">
        <v>62</v>
      </c>
      <c r="H725" s="15" t="inlineStr">
        <is>
          <t>The New Student</t>
        </is>
      </c>
      <c r="I725" s="15" t="inlineStr">
        <is>
          <t>The New Student 📚 | Moral Stories for Kids | Tiny Sparks</t>
        </is>
      </c>
      <c r="J725" s="15" t="inlineStr">
        <is>
          <t>3–5</t>
        </is>
      </c>
      <c r="K725" s="15" t="inlineStr">
        <is>
          <t>Long 16:9 + Short teaser</t>
        </is>
      </c>
      <c r="L725" s="15" t="inlineStr">
        <is>
          <t>3–5 min (Short: 50 s)</t>
        </is>
      </c>
      <c r="M725" s="15" t="inlineStr">
        <is>
          <t>narrator + guest animals / Mila &amp; Leo</t>
        </is>
      </c>
      <c r="N725" s="15" t="inlineStr">
        <is>
          <t>Value: including others</t>
        </is>
      </c>
      <c r="O725" s="15" t="inlineStr">
        <is>
          <t>Yes</t>
        </is>
      </c>
      <c r="P725" s="15" t="inlineStr">
        <is>
          <t>P3</t>
        </is>
      </c>
      <c r="Q725" s="15" t="inlineStr">
        <is>
          <t>Idea</t>
        </is>
      </c>
      <c r="R725" s="48">
        <f>INDEX('Start Here'!$B$10:$B$16,WEEKDAY(C725,2))</f>
        <v/>
      </c>
      <c r="S725" s="48">
        <f>MOD(R725+'Start Here'!$B$6/24,1)</f>
        <v/>
      </c>
      <c r="T725" s="15" t="n"/>
      <c r="U725" s="15" t="n"/>
      <c r="V725" s="15" t="n"/>
      <c r="W725" s="15" t="n"/>
      <c r="X725" s="20" t="n"/>
      <c r="Y725" s="15" t="n"/>
    </row>
    <row r="726">
      <c r="A726" s="15" t="n">
        <v>725</v>
      </c>
      <c r="B726" s="16">
        <f>INT((A726-1)/7)+1</f>
        <v/>
      </c>
      <c r="C726" s="47">
        <f>'Start Here'!$B$5+A726-1</f>
        <v/>
      </c>
      <c r="D726" s="16">
        <f>TEXT(C726,"ddd")</f>
        <v/>
      </c>
      <c r="E726" s="15" t="inlineStr">
        <is>
          <t>Story Season</t>
        </is>
      </c>
      <c r="F726" s="18" t="inlineStr">
        <is>
          <t>🧠 Educational Stories</t>
        </is>
      </c>
      <c r="G726" s="15" t="n">
        <v>63</v>
      </c>
      <c r="H726" s="15" t="inlineStr">
        <is>
          <t>Max Discovers the Importance of Practice</t>
        </is>
      </c>
      <c r="I726" s="15" t="inlineStr">
        <is>
          <t>Leo Discovers the Importance of Practice 🧠 | Kids Stories | Tiny Sparks</t>
        </is>
      </c>
      <c r="J726" s="15" t="inlineStr">
        <is>
          <t>3–5</t>
        </is>
      </c>
      <c r="K726" s="15" t="inlineStr">
        <is>
          <t>Long 16:9 + Short teaser</t>
        </is>
      </c>
      <c r="L726" s="15" t="inlineStr">
        <is>
          <t>3–5 min (Short: 50 s)</t>
        </is>
      </c>
      <c r="M726" s="15" t="inlineStr">
        <is>
          <t>Leo (lead) · Mila, Leo, Bobo + narrator</t>
        </is>
      </c>
      <c r="N726" s="15" t="inlineStr">
        <is>
          <t>Life skill: Importance of Practice</t>
        </is>
      </c>
      <c r="O726" s="15" t="inlineStr">
        <is>
          <t>Yes</t>
        </is>
      </c>
      <c r="P726" s="15" t="inlineStr">
        <is>
          <t>P3</t>
        </is>
      </c>
      <c r="Q726" s="15" t="inlineStr">
        <is>
          <t>Idea</t>
        </is>
      </c>
      <c r="R726" s="48">
        <f>INDEX('Start Here'!$B$10:$B$16,WEEKDAY(C726,2))</f>
        <v/>
      </c>
      <c r="S726" s="48">
        <f>MOD(R726+'Start Here'!$B$6/24,1)</f>
        <v/>
      </c>
      <c r="T726" s="15" t="n"/>
      <c r="U726" s="15" t="n"/>
      <c r="V726" s="15" t="n"/>
      <c r="W726" s="15" t="n"/>
      <c r="X726" s="20" t="n"/>
      <c r="Y726" s="15" t="n"/>
    </row>
    <row r="727">
      <c r="A727" s="15" t="n">
        <v>726</v>
      </c>
      <c r="B727" s="16">
        <f>INT((A727-1)/7)+1</f>
        <v/>
      </c>
      <c r="C727" s="47">
        <f>'Start Here'!$B$5+A727-1</f>
        <v/>
      </c>
      <c r="D727" s="16">
        <f>TEXT(C727,"ddd")</f>
        <v/>
      </c>
      <c r="E727" s="15" t="inlineStr">
        <is>
          <t>Story Season</t>
        </is>
      </c>
      <c r="F727" s="27" t="inlineStr">
        <is>
          <t>📚 Moral Stories</t>
        </is>
      </c>
      <c r="G727" s="15" t="n">
        <v>63</v>
      </c>
      <c r="H727" s="15" t="inlineStr">
        <is>
          <t>The Lonely Puppy</t>
        </is>
      </c>
      <c r="I727" s="15" t="inlineStr">
        <is>
          <t>The Lonely Puppy 📚 | Moral Stories for Kids | Tiny Sparks</t>
        </is>
      </c>
      <c r="J727" s="15" t="inlineStr">
        <is>
          <t>3–5</t>
        </is>
      </c>
      <c r="K727" s="15" t="inlineStr">
        <is>
          <t>Long 16:9 + Short teaser</t>
        </is>
      </c>
      <c r="L727" s="15" t="inlineStr">
        <is>
          <t>3–5 min (Short: 50 s)</t>
        </is>
      </c>
      <c r="M727" s="15" t="inlineStr">
        <is>
          <t>narrator + guest animals / Mila &amp; Leo</t>
        </is>
      </c>
      <c r="N727" s="15" t="inlineStr">
        <is>
          <t>Value: friendship</t>
        </is>
      </c>
      <c r="O727" s="15" t="inlineStr">
        <is>
          <t>Build first: puppy</t>
        </is>
      </c>
      <c r="P727" s="15" t="inlineStr">
        <is>
          <t>P3</t>
        </is>
      </c>
      <c r="Q727" s="15" t="inlineStr">
        <is>
          <t>Idea</t>
        </is>
      </c>
      <c r="R727" s="48">
        <f>INDEX('Start Here'!$B$10:$B$16,WEEKDAY(C727,2))</f>
        <v/>
      </c>
      <c r="S727" s="48">
        <f>MOD(R727+'Start Here'!$B$6/24,1)</f>
        <v/>
      </c>
      <c r="T727" s="15" t="n"/>
      <c r="U727" s="15" t="n"/>
      <c r="V727" s="15" t="n"/>
      <c r="W727" s="15" t="n"/>
      <c r="X727" s="20" t="n"/>
      <c r="Y727" s="15" t="n"/>
    </row>
    <row r="728">
      <c r="A728" s="15" t="n">
        <v>727</v>
      </c>
      <c r="B728" s="16">
        <f>INT((A728-1)/7)+1</f>
        <v/>
      </c>
      <c r="C728" s="47">
        <f>'Start Here'!$B$5+A728-1</f>
        <v/>
      </c>
      <c r="D728" s="16">
        <f>TEXT(C728,"ddd")</f>
        <v/>
      </c>
      <c r="E728" s="15" t="inlineStr">
        <is>
          <t>Story Season</t>
        </is>
      </c>
      <c r="F728" s="18" t="inlineStr">
        <is>
          <t>🧠 Educational Stories</t>
        </is>
      </c>
      <c r="G728" s="15" t="n">
        <v>64</v>
      </c>
      <c r="H728" s="15" t="inlineStr">
        <is>
          <t>The Day Lily Learned to Be Brave</t>
        </is>
      </c>
      <c r="I728" s="15" t="inlineStr">
        <is>
          <t>The Day Mila Learned to Be Brave 🧠 | Kids Stories | Tiny Sparks</t>
        </is>
      </c>
      <c r="J728" s="15" t="inlineStr">
        <is>
          <t>3–5</t>
        </is>
      </c>
      <c r="K728" s="15" t="inlineStr">
        <is>
          <t>Long 16:9 + Short teaser</t>
        </is>
      </c>
      <c r="L728" s="15" t="inlineStr">
        <is>
          <t>3–5 min (Short: 50 s)</t>
        </is>
      </c>
      <c r="M728" s="15" t="inlineStr">
        <is>
          <t>Mila (lead) · Mila, Leo, Bobo + narrator</t>
        </is>
      </c>
      <c r="N728" s="15" t="inlineStr">
        <is>
          <t>Life skill: Be Brave</t>
        </is>
      </c>
      <c r="O728" s="15" t="inlineStr">
        <is>
          <t>Yes</t>
        </is>
      </c>
      <c r="P728" s="15" t="inlineStr">
        <is>
          <t>P3</t>
        </is>
      </c>
      <c r="Q728" s="15" t="inlineStr">
        <is>
          <t>Idea</t>
        </is>
      </c>
      <c r="R728" s="48">
        <f>INDEX('Start Here'!$B$10:$B$16,WEEKDAY(C728,2))</f>
        <v/>
      </c>
      <c r="S728" s="48">
        <f>MOD(R728+'Start Here'!$B$6/24,1)</f>
        <v/>
      </c>
      <c r="T728" s="15" t="n"/>
      <c r="U728" s="15" t="n"/>
      <c r="V728" s="15" t="n"/>
      <c r="W728" s="15" t="n"/>
      <c r="X728" s="20" t="n"/>
      <c r="Y728" s="15" t="n"/>
    </row>
    <row r="729">
      <c r="A729" s="15" t="n">
        <v>728</v>
      </c>
      <c r="B729" s="16">
        <f>INT((A729-1)/7)+1</f>
        <v/>
      </c>
      <c r="C729" s="47">
        <f>'Start Here'!$B$5+A729-1</f>
        <v/>
      </c>
      <c r="D729" s="16">
        <f>TEXT(C729,"ddd")</f>
        <v/>
      </c>
      <c r="E729" s="15" t="inlineStr">
        <is>
          <t>Story Season</t>
        </is>
      </c>
      <c r="F729" s="27" t="inlineStr">
        <is>
          <t>📚 Moral Stories</t>
        </is>
      </c>
      <c r="G729" s="15" t="n">
        <v>64</v>
      </c>
      <c r="H729" s="15" t="inlineStr">
        <is>
          <t>The Two Animals Who Became Friends</t>
        </is>
      </c>
      <c r="I729" s="15" t="inlineStr">
        <is>
          <t>The Two Animals Who Became Friends 📚 | Moral Stories for Kids | Tiny Sparks</t>
        </is>
      </c>
      <c r="J729" s="15" t="inlineStr">
        <is>
          <t>3–5</t>
        </is>
      </c>
      <c r="K729" s="15" t="inlineStr">
        <is>
          <t>Long 16:9 + Short teaser</t>
        </is>
      </c>
      <c r="L729" s="15" t="inlineStr">
        <is>
          <t>3–5 min (Short: 50 s)</t>
        </is>
      </c>
      <c r="M729" s="15" t="inlineStr">
        <is>
          <t>narrator + guest animals / Mila &amp; Leo</t>
        </is>
      </c>
      <c r="N729" s="15" t="inlineStr">
        <is>
          <t>Value: friendship</t>
        </is>
      </c>
      <c r="O729" s="15" t="inlineStr">
        <is>
          <t>Yes</t>
        </is>
      </c>
      <c r="P729" s="15" t="inlineStr">
        <is>
          <t>P3</t>
        </is>
      </c>
      <c r="Q729" s="15" t="inlineStr">
        <is>
          <t>Idea</t>
        </is>
      </c>
      <c r="R729" s="48">
        <f>INDEX('Start Here'!$B$10:$B$16,WEEKDAY(C729,2))</f>
        <v/>
      </c>
      <c r="S729" s="48">
        <f>MOD(R729+'Start Here'!$B$6/24,1)</f>
        <v/>
      </c>
      <c r="T729" s="15" t="n"/>
      <c r="U729" s="15" t="n"/>
      <c r="V729" s="15" t="n"/>
      <c r="W729" s="15" t="n"/>
      <c r="X729" s="20" t="n"/>
      <c r="Y729" s="15" t="n"/>
    </row>
    <row r="730">
      <c r="A730" s="15" t="n">
        <v>729</v>
      </c>
      <c r="B730" s="16">
        <f>INT((A730-1)/7)+1</f>
        <v/>
      </c>
      <c r="C730" s="47">
        <f>'Start Here'!$B$5+A730-1</f>
        <v/>
      </c>
      <c r="D730" s="16">
        <f>TEXT(C730,"ddd")</f>
        <v/>
      </c>
      <c r="E730" s="15" t="inlineStr">
        <is>
          <t>Story Season</t>
        </is>
      </c>
      <c r="F730" s="18" t="inlineStr">
        <is>
          <t>🧠 Educational Stories</t>
        </is>
      </c>
      <c r="G730" s="15" t="n">
        <v>65</v>
      </c>
      <c r="H730" s="15" t="inlineStr">
        <is>
          <t>Tommy and the Broken Bicycle</t>
        </is>
      </c>
      <c r="I730" s="15" t="inlineStr">
        <is>
          <t>Leo and the Broken Bicycle 🧠 | Kids Stories | Tiny Sparks</t>
        </is>
      </c>
      <c r="J730" s="15" t="inlineStr">
        <is>
          <t>6–8</t>
        </is>
      </c>
      <c r="K730" s="15" t="inlineStr">
        <is>
          <t>Long 16:9 + Short teaser</t>
        </is>
      </c>
      <c r="L730" s="15" t="inlineStr">
        <is>
          <t>3–5 min (Short: 50 s)</t>
        </is>
      </c>
      <c r="M730" s="15" t="inlineStr">
        <is>
          <t>Leo (lead) · Mila, Leo, Bobo + narrator</t>
        </is>
      </c>
      <c r="N730" s="15" t="inlineStr">
        <is>
          <t>Curiosity + problem solving</t>
        </is>
      </c>
      <c r="O730" s="15" t="inlineStr">
        <is>
          <t>Yes</t>
        </is>
      </c>
      <c r="P730" s="15" t="inlineStr">
        <is>
          <t>P3</t>
        </is>
      </c>
      <c r="Q730" s="15" t="inlineStr">
        <is>
          <t>Idea</t>
        </is>
      </c>
      <c r="R730" s="48">
        <f>INDEX('Start Here'!$B$10:$B$16,WEEKDAY(C730,2))</f>
        <v/>
      </c>
      <c r="S730" s="48">
        <f>MOD(R730+'Start Here'!$B$6/24,1)</f>
        <v/>
      </c>
      <c r="T730" s="15" t="n"/>
      <c r="U730" s="15" t="n"/>
      <c r="V730" s="15" t="n"/>
      <c r="W730" s="15" t="n"/>
      <c r="X730" s="20" t="n"/>
      <c r="Y730" s="15" t="n"/>
    </row>
    <row r="731">
      <c r="A731" s="15" t="n">
        <v>730</v>
      </c>
      <c r="B731" s="16">
        <f>INT((A731-1)/7)+1</f>
        <v/>
      </c>
      <c r="C731" s="47">
        <f>'Start Here'!$B$5+A731-1</f>
        <v/>
      </c>
      <c r="D731" s="16">
        <f>TEXT(C731,"ddd")</f>
        <v/>
      </c>
      <c r="E731" s="15" t="inlineStr">
        <is>
          <t>Story Season</t>
        </is>
      </c>
      <c r="F731" s="27" t="inlineStr">
        <is>
          <t>📚 Moral Stories</t>
        </is>
      </c>
      <c r="G731" s="15" t="n">
        <v>65</v>
      </c>
      <c r="H731" s="15" t="inlineStr">
        <is>
          <t>The Rabbit Who Forgave</t>
        </is>
      </c>
      <c r="I731" s="15" t="inlineStr">
        <is>
          <t>The Rabbit Who Forgave 📚 | Moral Stories for Kids | Tiny Sparks</t>
        </is>
      </c>
      <c r="J731" s="15" t="inlineStr">
        <is>
          <t>3–5</t>
        </is>
      </c>
      <c r="K731" s="15" t="inlineStr">
        <is>
          <t>Long 16:9 + Short teaser</t>
        </is>
      </c>
      <c r="L731" s="15" t="inlineStr">
        <is>
          <t>3–5 min (Short: 50 s)</t>
        </is>
      </c>
      <c r="M731" s="15" t="inlineStr">
        <is>
          <t>narrator + guest animals / Mila &amp; Leo</t>
        </is>
      </c>
      <c r="N731" s="15" t="inlineStr">
        <is>
          <t>Value: forgiveness</t>
        </is>
      </c>
      <c r="O731" s="15" t="inlineStr">
        <is>
          <t>Yes</t>
        </is>
      </c>
      <c r="P731" s="15" t="inlineStr">
        <is>
          <t>P3</t>
        </is>
      </c>
      <c r="Q731" s="15" t="inlineStr">
        <is>
          <t>Idea</t>
        </is>
      </c>
      <c r="R731" s="48">
        <f>INDEX('Start Here'!$B$10:$B$16,WEEKDAY(C731,2))</f>
        <v/>
      </c>
      <c r="S731" s="48">
        <f>MOD(R731+'Start Here'!$B$6/24,1)</f>
        <v/>
      </c>
      <c r="T731" s="15" t="n"/>
      <c r="U731" s="15" t="n"/>
      <c r="V731" s="15" t="n"/>
      <c r="W731" s="15" t="n"/>
      <c r="X731" s="20" t="n"/>
      <c r="Y731" s="15" t="n"/>
    </row>
    <row r="732">
      <c r="A732" s="15" t="n">
        <v>731</v>
      </c>
      <c r="B732" s="16">
        <f>INT((A732-1)/7)+1</f>
        <v/>
      </c>
      <c r="C732" s="47">
        <f>'Start Here'!$B$5+A732-1</f>
        <v/>
      </c>
      <c r="D732" s="16">
        <f>TEXT(C732,"ddd")</f>
        <v/>
      </c>
      <c r="E732" s="15" t="inlineStr">
        <is>
          <t>Story Season</t>
        </is>
      </c>
      <c r="F732" s="18" t="inlineStr">
        <is>
          <t>🧠 Educational Stories</t>
        </is>
      </c>
      <c r="G732" s="15" t="n">
        <v>66</v>
      </c>
      <c r="H732" s="15" t="inlineStr">
        <is>
          <t>The Helpful Ant Colony</t>
        </is>
      </c>
      <c r="I732" s="15" t="inlineStr">
        <is>
          <t>The Helpful Ant Colony 🧠 | Kids Stories | Tiny Sparks</t>
        </is>
      </c>
      <c r="J732" s="15" t="inlineStr">
        <is>
          <t>3–5</t>
        </is>
      </c>
      <c r="K732" s="15" t="inlineStr">
        <is>
          <t>Long 16:9 + Short teaser</t>
        </is>
      </c>
      <c r="L732" s="15" t="inlineStr">
        <is>
          <t>3–5 min (Short: 50 s)</t>
        </is>
      </c>
      <c r="M732" s="15" t="inlineStr">
        <is>
          <t>Mila, Leo, Bobo + narrator</t>
        </is>
      </c>
      <c r="N732" s="15" t="inlineStr">
        <is>
          <t>Life skill: helping others</t>
        </is>
      </c>
      <c r="O732" s="15" t="inlineStr">
        <is>
          <t>Build first: ant</t>
        </is>
      </c>
      <c r="P732" s="15" t="inlineStr">
        <is>
          <t>P3</t>
        </is>
      </c>
      <c r="Q732" s="15" t="inlineStr">
        <is>
          <t>Idea</t>
        </is>
      </c>
      <c r="R732" s="48">
        <f>INDEX('Start Here'!$B$10:$B$16,WEEKDAY(C732,2))</f>
        <v/>
      </c>
      <c r="S732" s="48">
        <f>MOD(R732+'Start Here'!$B$6/24,1)</f>
        <v/>
      </c>
      <c r="T732" s="15" t="n"/>
      <c r="U732" s="15" t="n"/>
      <c r="V732" s="15" t="n"/>
      <c r="W732" s="15" t="n"/>
      <c r="X732" s="20" t="n"/>
      <c r="Y732" s="15" t="n"/>
    </row>
    <row r="733">
      <c r="A733" s="15" t="n">
        <v>732</v>
      </c>
      <c r="B733" s="16">
        <f>INT((A733-1)/7)+1</f>
        <v/>
      </c>
      <c r="C733" s="47">
        <f>'Start Here'!$B$5+A733-1</f>
        <v/>
      </c>
      <c r="D733" s="16">
        <f>TEXT(C733,"ddd")</f>
        <v/>
      </c>
      <c r="E733" s="15" t="inlineStr">
        <is>
          <t>Story Season</t>
        </is>
      </c>
      <c r="F733" s="27" t="inlineStr">
        <is>
          <t>📚 Moral Stories</t>
        </is>
      </c>
      <c r="G733" s="15" t="n">
        <v>66</v>
      </c>
      <c r="H733" s="15" t="inlineStr">
        <is>
          <t>The Elephant Who Understood Feelings</t>
        </is>
      </c>
      <c r="I733" s="15" t="inlineStr">
        <is>
          <t>The Elephant Who Understood Feelings 📚 | Moral Stories for Kids | Tiny Sparks</t>
        </is>
      </c>
      <c r="J733" s="15" t="inlineStr">
        <is>
          <t>3–5</t>
        </is>
      </c>
      <c r="K733" s="15" t="inlineStr">
        <is>
          <t>Long 16:9 + Short teaser</t>
        </is>
      </c>
      <c r="L733" s="15" t="inlineStr">
        <is>
          <t>3–5 min (Short: 50 s)</t>
        </is>
      </c>
      <c r="M733" s="15" t="inlineStr">
        <is>
          <t>narrator + guest animals / Mila &amp; Leo</t>
        </is>
      </c>
      <c r="N733" s="15" t="inlineStr">
        <is>
          <t>Value: empathy</t>
        </is>
      </c>
      <c r="O733" s="15" t="inlineStr">
        <is>
          <t>Build first: elephant</t>
        </is>
      </c>
      <c r="P733" s="15" t="inlineStr">
        <is>
          <t>P3</t>
        </is>
      </c>
      <c r="Q733" s="15" t="inlineStr">
        <is>
          <t>Idea</t>
        </is>
      </c>
      <c r="R733" s="48">
        <f>INDEX('Start Here'!$B$10:$B$16,WEEKDAY(C733,2))</f>
        <v/>
      </c>
      <c r="S733" s="48">
        <f>MOD(R733+'Start Here'!$B$6/24,1)</f>
        <v/>
      </c>
      <c r="T733" s="15" t="n"/>
      <c r="U733" s="15" t="n"/>
      <c r="V733" s="15" t="n"/>
      <c r="W733" s="15" t="n"/>
      <c r="X733" s="20" t="n"/>
      <c r="Y733" s="15" t="n"/>
    </row>
    <row r="734">
      <c r="A734" s="15" t="n">
        <v>733</v>
      </c>
      <c r="B734" s="16">
        <f>INT((A734-1)/7)+1</f>
        <v/>
      </c>
      <c r="C734" s="47">
        <f>'Start Here'!$B$5+A734-1</f>
        <v/>
      </c>
      <c r="D734" s="16">
        <f>TEXT(C734,"ddd")</f>
        <v/>
      </c>
      <c r="E734" s="15" t="inlineStr">
        <is>
          <t>Story Season</t>
        </is>
      </c>
      <c r="F734" s="18" t="inlineStr">
        <is>
          <t>🧠 Educational Stories</t>
        </is>
      </c>
      <c r="G734" s="15" t="n">
        <v>67</v>
      </c>
      <c r="H734" s="15" t="inlineStr">
        <is>
          <t>Mia Learns About Saving Water</t>
        </is>
      </c>
      <c r="I734" s="15" t="inlineStr">
        <is>
          <t>Mila Learns About Saving Water 🧠 | Kids Stories | Tiny Sparks</t>
        </is>
      </c>
      <c r="J734" s="15" t="inlineStr">
        <is>
          <t>3–5</t>
        </is>
      </c>
      <c r="K734" s="15" t="inlineStr">
        <is>
          <t>Long 16:9 + Short teaser</t>
        </is>
      </c>
      <c r="L734" s="15" t="inlineStr">
        <is>
          <t>3–5 min (Short: 50 s)</t>
        </is>
      </c>
      <c r="M734" s="15" t="inlineStr">
        <is>
          <t>Mila (lead) · Mila, Leo, Bobo + narrator</t>
        </is>
      </c>
      <c r="N734" s="15" t="inlineStr">
        <is>
          <t>Life skill: Saving Water</t>
        </is>
      </c>
      <c r="O734" s="15" t="inlineStr">
        <is>
          <t>Yes</t>
        </is>
      </c>
      <c r="P734" s="15" t="inlineStr">
        <is>
          <t>P3</t>
        </is>
      </c>
      <c r="Q734" s="15" t="inlineStr">
        <is>
          <t>Idea</t>
        </is>
      </c>
      <c r="R734" s="48">
        <f>INDEX('Start Here'!$B$10:$B$16,WEEKDAY(C734,2))</f>
        <v/>
      </c>
      <c r="S734" s="48">
        <f>MOD(R734+'Start Here'!$B$6/24,1)</f>
        <v/>
      </c>
      <c r="T734" s="15" t="n"/>
      <c r="U734" s="15" t="n"/>
      <c r="V734" s="15" t="n"/>
      <c r="W734" s="15" t="n"/>
      <c r="X734" s="20" t="n"/>
      <c r="Y734" s="15" t="n"/>
    </row>
    <row r="735">
      <c r="A735" s="15" t="n">
        <v>734</v>
      </c>
      <c r="B735" s="16">
        <f>INT((A735-1)/7)+1</f>
        <v/>
      </c>
      <c r="C735" s="47">
        <f>'Start Here'!$B$5+A735-1</f>
        <v/>
      </c>
      <c r="D735" s="16">
        <f>TEXT(C735,"ddd")</f>
        <v/>
      </c>
      <c r="E735" s="15" t="inlineStr">
        <is>
          <t>Story Season</t>
        </is>
      </c>
      <c r="F735" s="27" t="inlineStr">
        <is>
          <t>📚 Moral Stories</t>
        </is>
      </c>
      <c r="G735" s="15" t="n">
        <v>67</v>
      </c>
      <c r="H735" s="15" t="inlineStr">
        <is>
          <t>The Monkey Who Learned Empathy</t>
        </is>
      </c>
      <c r="I735" s="15" t="inlineStr">
        <is>
          <t>The Monkey Who Learned Empathy 📚 | Moral Stories for Kids | Tiny Sparks</t>
        </is>
      </c>
      <c r="J735" s="15" t="inlineStr">
        <is>
          <t>3–5</t>
        </is>
      </c>
      <c r="K735" s="15" t="inlineStr">
        <is>
          <t>Long 16:9 + Short teaser</t>
        </is>
      </c>
      <c r="L735" s="15" t="inlineStr">
        <is>
          <t>3–5 min (Short: 50 s)</t>
        </is>
      </c>
      <c r="M735" s="15" t="inlineStr">
        <is>
          <t>narrator + guest animals / Mila &amp; Leo</t>
        </is>
      </c>
      <c r="N735" s="15" t="inlineStr">
        <is>
          <t>Value: empathy</t>
        </is>
      </c>
      <c r="O735" s="15" t="inlineStr">
        <is>
          <t>Build first: monkey</t>
        </is>
      </c>
      <c r="P735" s="15" t="inlineStr">
        <is>
          <t>P3</t>
        </is>
      </c>
      <c r="Q735" s="15" t="inlineStr">
        <is>
          <t>Idea</t>
        </is>
      </c>
      <c r="R735" s="48">
        <f>INDEX('Start Here'!$B$10:$B$16,WEEKDAY(C735,2))</f>
        <v/>
      </c>
      <c r="S735" s="48">
        <f>MOD(R735+'Start Here'!$B$6/24,1)</f>
        <v/>
      </c>
      <c r="T735" s="15" t="n"/>
      <c r="U735" s="15" t="n"/>
      <c r="V735" s="15" t="n"/>
      <c r="W735" s="15" t="n"/>
      <c r="X735" s="20" t="n"/>
      <c r="Y735" s="15" t="n"/>
    </row>
    <row r="736">
      <c r="A736" s="15" t="n">
        <v>735</v>
      </c>
      <c r="B736" s="16">
        <f>INT((A736-1)/7)+1</f>
        <v/>
      </c>
      <c r="C736" s="47">
        <f>'Start Here'!$B$5+A736-1</f>
        <v/>
      </c>
      <c r="D736" s="16">
        <f>TEXT(C736,"ddd")</f>
        <v/>
      </c>
      <c r="E736" s="15" t="inlineStr">
        <is>
          <t>Story Season</t>
        </is>
      </c>
      <c r="F736" s="18" t="inlineStr">
        <is>
          <t>🧠 Educational Stories</t>
        </is>
      </c>
      <c r="G736" s="15" t="n">
        <v>68</v>
      </c>
      <c r="H736" s="15" t="inlineStr">
        <is>
          <t>The Day Everyone Lost Their Phones</t>
        </is>
      </c>
      <c r="I736" s="15" t="inlineStr">
        <is>
          <t>The Day Everyone Lost Their Phones 🧠 | Kids Stories | Tiny Sparks</t>
        </is>
      </c>
      <c r="J736" s="15" t="inlineStr">
        <is>
          <t>3–5</t>
        </is>
      </c>
      <c r="K736" s="15" t="inlineStr">
        <is>
          <t>Long 16:9 + Short teaser</t>
        </is>
      </c>
      <c r="L736" s="15" t="inlineStr">
        <is>
          <t>3–5 min (Short: 50 s)</t>
        </is>
      </c>
      <c r="M736" s="15" t="inlineStr">
        <is>
          <t>Mila, Leo, Bobo + narrator</t>
        </is>
      </c>
      <c r="N736" s="15" t="inlineStr">
        <is>
          <t>Curiosity + problem solving</t>
        </is>
      </c>
      <c r="O736" s="15" t="inlineStr">
        <is>
          <t>Yes</t>
        </is>
      </c>
      <c r="P736" s="15" t="inlineStr">
        <is>
          <t>P3</t>
        </is>
      </c>
      <c r="Q736" s="15" t="inlineStr">
        <is>
          <t>Idea</t>
        </is>
      </c>
      <c r="R736" s="48">
        <f>INDEX('Start Here'!$B$10:$B$16,WEEKDAY(C736,2))</f>
        <v/>
      </c>
      <c r="S736" s="48">
        <f>MOD(R736+'Start Here'!$B$6/24,1)</f>
        <v/>
      </c>
      <c r="T736" s="15" t="n"/>
      <c r="U736" s="15" t="n"/>
      <c r="V736" s="15" t="n"/>
      <c r="W736" s="15" t="n"/>
      <c r="X736" s="20" t="n"/>
      <c r="Y736" s="15" t="n"/>
    </row>
    <row r="737">
      <c r="A737" s="15" t="n">
        <v>736</v>
      </c>
      <c r="B737" s="16">
        <f>INT((A737-1)/7)+1</f>
        <v/>
      </c>
      <c r="C737" s="47">
        <f>'Start Here'!$B$5+A737-1</f>
        <v/>
      </c>
      <c r="D737" s="16">
        <f>TEXT(C737,"ddd")</f>
        <v/>
      </c>
      <c r="E737" s="15" t="inlineStr">
        <is>
          <t>Story Season</t>
        </is>
      </c>
      <c r="F737" s="27" t="inlineStr">
        <is>
          <t>📚 Moral Stories</t>
        </is>
      </c>
      <c r="G737" s="15" t="n">
        <v>68</v>
      </c>
      <c r="H737" s="15" t="inlineStr">
        <is>
          <t>The Wolf Who Needed a Friend</t>
        </is>
      </c>
      <c r="I737" s="15" t="inlineStr">
        <is>
          <t>The Wolf Who Needed a Friend 📚 | Moral Stories for Kids | Tiny Sparks</t>
        </is>
      </c>
      <c r="J737" s="15" t="inlineStr">
        <is>
          <t>3–5</t>
        </is>
      </c>
      <c r="K737" s="15" t="inlineStr">
        <is>
          <t>Long 16:9 + Short teaser</t>
        </is>
      </c>
      <c r="L737" s="15" t="inlineStr">
        <is>
          <t>3–5 min (Short: 50 s)</t>
        </is>
      </c>
      <c r="M737" s="15" t="inlineStr">
        <is>
          <t>narrator + guest animals / Mila &amp; Leo</t>
        </is>
      </c>
      <c r="N737" s="15" t="inlineStr">
        <is>
          <t>Value: friendship</t>
        </is>
      </c>
      <c r="O737" s="15" t="inlineStr">
        <is>
          <t>Build first: wolf</t>
        </is>
      </c>
      <c r="P737" s="15" t="inlineStr">
        <is>
          <t>P3</t>
        </is>
      </c>
      <c r="Q737" s="15" t="inlineStr">
        <is>
          <t>Idea</t>
        </is>
      </c>
      <c r="R737" s="48">
        <f>INDEX('Start Here'!$B$10:$B$16,WEEKDAY(C737,2))</f>
        <v/>
      </c>
      <c r="S737" s="48">
        <f>MOD(R737+'Start Here'!$B$6/24,1)</f>
        <v/>
      </c>
      <c r="T737" s="15" t="n"/>
      <c r="U737" s="15" t="n"/>
      <c r="V737" s="15" t="n"/>
      <c r="W737" s="15" t="n"/>
      <c r="X737" s="20" t="n"/>
      <c r="Y737" s="15" t="n"/>
    </row>
    <row r="738">
      <c r="A738" s="15" t="n">
        <v>737</v>
      </c>
      <c r="B738" s="16">
        <f>INT((A738-1)/7)+1</f>
        <v/>
      </c>
      <c r="C738" s="47">
        <f>'Start Here'!$B$5+A738-1</f>
        <v/>
      </c>
      <c r="D738" s="16">
        <f>TEXT(C738,"ddd")</f>
        <v/>
      </c>
      <c r="E738" s="15" t="inlineStr">
        <is>
          <t>Story Season</t>
        </is>
      </c>
      <c r="F738" s="18" t="inlineStr">
        <is>
          <t>🧠 Educational Stories</t>
        </is>
      </c>
      <c r="G738" s="15" t="n">
        <v>69</v>
      </c>
      <c r="H738" s="15" t="inlineStr">
        <is>
          <t>Alex Learns About Digital Safety</t>
        </is>
      </c>
      <c r="I738" s="15" t="inlineStr">
        <is>
          <t>Leo Learns About Digital Safety 🧠 | Kids Stories | Tiny Sparks</t>
        </is>
      </c>
      <c r="J738" s="15" t="inlineStr">
        <is>
          <t>6–8</t>
        </is>
      </c>
      <c r="K738" s="15" t="inlineStr">
        <is>
          <t>Long 16:9 + Short teaser</t>
        </is>
      </c>
      <c r="L738" s="15" t="inlineStr">
        <is>
          <t>3–5 min (Short: 50 s)</t>
        </is>
      </c>
      <c r="M738" s="15" t="inlineStr">
        <is>
          <t>Leo (lead) · Mila, Leo, Bobo + narrator</t>
        </is>
      </c>
      <c r="N738" s="15" t="inlineStr">
        <is>
          <t>Life skill: Digital Safety</t>
        </is>
      </c>
      <c r="O738" s="15" t="inlineStr">
        <is>
          <t>Yes</t>
        </is>
      </c>
      <c r="P738" s="15" t="inlineStr">
        <is>
          <t>P3</t>
        </is>
      </c>
      <c r="Q738" s="15" t="inlineStr">
        <is>
          <t>Idea</t>
        </is>
      </c>
      <c r="R738" s="48">
        <f>INDEX('Start Here'!$B$10:$B$16,WEEKDAY(C738,2))</f>
        <v/>
      </c>
      <c r="S738" s="48">
        <f>MOD(R738+'Start Here'!$B$6/24,1)</f>
        <v/>
      </c>
      <c r="T738" s="15" t="n"/>
      <c r="U738" s="15" t="n"/>
      <c r="V738" s="15" t="n"/>
      <c r="W738" s="15" t="n"/>
      <c r="X738" s="20" t="n"/>
      <c r="Y738" s="15" t="n"/>
    </row>
    <row r="739">
      <c r="A739" s="15" t="n">
        <v>738</v>
      </c>
      <c r="B739" s="16">
        <f>INT((A739-1)/7)+1</f>
        <v/>
      </c>
      <c r="C739" s="47">
        <f>'Start Here'!$B$5+A739-1</f>
        <v/>
      </c>
      <c r="D739" s="16">
        <f>TEXT(C739,"ddd")</f>
        <v/>
      </c>
      <c r="E739" s="15" t="inlineStr">
        <is>
          <t>Story Season</t>
        </is>
      </c>
      <c r="F739" s="27" t="inlineStr">
        <is>
          <t>📚 Moral Stories</t>
        </is>
      </c>
      <c r="G739" s="15" t="n">
        <v>69</v>
      </c>
      <c r="H739" s="15" t="inlineStr">
        <is>
          <t>The Bear Who Shared His Home</t>
        </is>
      </c>
      <c r="I739" s="15" t="inlineStr">
        <is>
          <t>The Bear Who Shared His Home 📚 | Moral Stories for Kids | Tiny Sparks</t>
        </is>
      </c>
      <c r="J739" s="15" t="inlineStr">
        <is>
          <t>3–5</t>
        </is>
      </c>
      <c r="K739" s="15" t="inlineStr">
        <is>
          <t>Long 16:9 + Short teaser</t>
        </is>
      </c>
      <c r="L739" s="15" t="inlineStr">
        <is>
          <t>3–5 min (Short: 50 s)</t>
        </is>
      </c>
      <c r="M739" s="15" t="inlineStr">
        <is>
          <t>narrator + guest animals / Mila &amp; Leo</t>
        </is>
      </c>
      <c r="N739" s="15" t="inlineStr">
        <is>
          <t>Value: sharing</t>
        </is>
      </c>
      <c r="O739" s="15" t="inlineStr">
        <is>
          <t>Yes</t>
        </is>
      </c>
      <c r="P739" s="15" t="inlineStr">
        <is>
          <t>P3</t>
        </is>
      </c>
      <c r="Q739" s="15" t="inlineStr">
        <is>
          <t>Idea</t>
        </is>
      </c>
      <c r="R739" s="48">
        <f>INDEX('Start Here'!$B$10:$B$16,WEEKDAY(C739,2))</f>
        <v/>
      </c>
      <c r="S739" s="48">
        <f>MOD(R739+'Start Here'!$B$6/24,1)</f>
        <v/>
      </c>
      <c r="T739" s="15" t="n"/>
      <c r="U739" s="15" t="n"/>
      <c r="V739" s="15" t="n"/>
      <c r="W739" s="15" t="n"/>
      <c r="X739" s="20" t="n"/>
      <c r="Y739" s="15" t="n"/>
    </row>
    <row r="740">
      <c r="A740" s="15" t="n">
        <v>739</v>
      </c>
      <c r="B740" s="16">
        <f>INT((A740-1)/7)+1</f>
        <v/>
      </c>
      <c r="C740" s="47">
        <f>'Start Here'!$B$5+A740-1</f>
        <v/>
      </c>
      <c r="D740" s="16">
        <f>TEXT(C740,"ddd")</f>
        <v/>
      </c>
      <c r="E740" s="15" t="inlineStr">
        <is>
          <t>Story Season</t>
        </is>
      </c>
      <c r="F740" s="18" t="inlineStr">
        <is>
          <t>🧠 Educational Stories</t>
        </is>
      </c>
      <c r="G740" s="15" t="n">
        <v>70</v>
      </c>
      <c r="H740" s="15" t="inlineStr">
        <is>
          <t>The Magic Door to the Museum</t>
        </is>
      </c>
      <c r="I740" s="15" t="inlineStr">
        <is>
          <t>The Magic Door to the Museum 🧠 | Kids Stories | Tiny Sparks</t>
        </is>
      </c>
      <c r="J740" s="15" t="inlineStr">
        <is>
          <t>3–5</t>
        </is>
      </c>
      <c r="K740" s="15" t="inlineStr">
        <is>
          <t>Long 16:9 + Short teaser</t>
        </is>
      </c>
      <c r="L740" s="15" t="inlineStr">
        <is>
          <t>3–5 min (Short: 50 s)</t>
        </is>
      </c>
      <c r="M740" s="15" t="inlineStr">
        <is>
          <t>Mila, Leo, Bobo + narrator</t>
        </is>
      </c>
      <c r="N740" s="15" t="inlineStr">
        <is>
          <t>Curiosity + problem solving</t>
        </is>
      </c>
      <c r="O740" s="15" t="inlineStr">
        <is>
          <t>Yes</t>
        </is>
      </c>
      <c r="P740" s="15" t="inlineStr">
        <is>
          <t>P3</t>
        </is>
      </c>
      <c r="Q740" s="15" t="inlineStr">
        <is>
          <t>Idea</t>
        </is>
      </c>
      <c r="R740" s="48">
        <f>INDEX('Start Here'!$B$10:$B$16,WEEKDAY(C740,2))</f>
        <v/>
      </c>
      <c r="S740" s="48">
        <f>MOD(R740+'Start Here'!$B$6/24,1)</f>
        <v/>
      </c>
      <c r="T740" s="15" t="n"/>
      <c r="U740" s="15" t="n"/>
      <c r="V740" s="15" t="n"/>
      <c r="W740" s="15" t="n"/>
      <c r="X740" s="20" t="n"/>
      <c r="Y740" s="15" t="n"/>
    </row>
    <row r="741">
      <c r="A741" s="15" t="n">
        <v>740</v>
      </c>
      <c r="B741" s="16">
        <f>INT((A741-1)/7)+1</f>
        <v/>
      </c>
      <c r="C741" s="47">
        <f>'Start Here'!$B$5+A741-1</f>
        <v/>
      </c>
      <c r="D741" s="16">
        <f>TEXT(C741,"ddd")</f>
        <v/>
      </c>
      <c r="E741" s="15" t="inlineStr">
        <is>
          <t>Story Season</t>
        </is>
      </c>
      <c r="F741" s="27" t="inlineStr">
        <is>
          <t>📚 Moral Stories</t>
        </is>
      </c>
      <c r="G741" s="15" t="n">
        <v>70</v>
      </c>
      <c r="H741" s="15" t="inlineStr">
        <is>
          <t>The Penguin Who Found His Family</t>
        </is>
      </c>
      <c r="I741" s="15" t="inlineStr">
        <is>
          <t>The Penguin Who Found His Family 📚 | Moral Stories for Kids | Tiny Sparks</t>
        </is>
      </c>
      <c r="J741" s="15" t="inlineStr">
        <is>
          <t>3–5</t>
        </is>
      </c>
      <c r="K741" s="15" t="inlineStr">
        <is>
          <t>Long 16:9 + Short teaser</t>
        </is>
      </c>
      <c r="L741" s="15" t="inlineStr">
        <is>
          <t>3–5 min (Short: 50 s)</t>
        </is>
      </c>
      <c r="M741" s="15" t="inlineStr">
        <is>
          <t>narrator + guest animals / Mila &amp; Leo</t>
        </is>
      </c>
      <c r="N741" s="15" t="inlineStr">
        <is>
          <t>Value: family</t>
        </is>
      </c>
      <c r="O741" s="15" t="inlineStr">
        <is>
          <t>Build first: penguin</t>
        </is>
      </c>
      <c r="P741" s="15" t="inlineStr">
        <is>
          <t>P3</t>
        </is>
      </c>
      <c r="Q741" s="15" t="inlineStr">
        <is>
          <t>Idea</t>
        </is>
      </c>
      <c r="R741" s="48">
        <f>INDEX('Start Here'!$B$10:$B$16,WEEKDAY(C741,2))</f>
        <v/>
      </c>
      <c r="S741" s="48">
        <f>MOD(R741+'Start Here'!$B$6/24,1)</f>
        <v/>
      </c>
      <c r="T741" s="15" t="n"/>
      <c r="U741" s="15" t="n"/>
      <c r="V741" s="15" t="n"/>
      <c r="W741" s="15" t="n"/>
      <c r="X741" s="20" t="n"/>
      <c r="Y741" s="15" t="n"/>
    </row>
    <row r="742">
      <c r="A742" s="15" t="n">
        <v>741</v>
      </c>
      <c r="B742" s="16">
        <f>INT((A742-1)/7)+1</f>
        <v/>
      </c>
      <c r="C742" s="47">
        <f>'Start Here'!$B$5+A742-1</f>
        <v/>
      </c>
      <c r="D742" s="16">
        <f>TEXT(C742,"ddd")</f>
        <v/>
      </c>
      <c r="E742" s="15" t="inlineStr">
        <is>
          <t>Story Season</t>
        </is>
      </c>
      <c r="F742" s="18" t="inlineStr">
        <is>
          <t>🧠 Educational Stories</t>
        </is>
      </c>
      <c r="G742" s="15" t="n">
        <v>71</v>
      </c>
      <c r="H742" s="15" t="inlineStr">
        <is>
          <t>Benny Discovers Ancient Dinosaurs</t>
        </is>
      </c>
      <c r="I742" s="15" t="inlineStr">
        <is>
          <t>Bobo Discovers Ancient Dinosaurs 🧠 | Kids Stories | Tiny Sparks</t>
        </is>
      </c>
      <c r="J742" s="15" t="inlineStr">
        <is>
          <t>6–8</t>
        </is>
      </c>
      <c r="K742" s="15" t="inlineStr">
        <is>
          <t>Long 16:9 + Short teaser</t>
        </is>
      </c>
      <c r="L742" s="15" t="inlineStr">
        <is>
          <t>3–5 min (Short: 50 s)</t>
        </is>
      </c>
      <c r="M742" s="15" t="inlineStr">
        <is>
          <t>Bobo (lead) · Mila, Leo, Bobo + narrator</t>
        </is>
      </c>
      <c r="N742" s="15" t="inlineStr">
        <is>
          <t>Life skill: Ancient Dinosaurs</t>
        </is>
      </c>
      <c r="O742" s="15" t="inlineStr">
        <is>
          <t>Build first: dinosaurs</t>
        </is>
      </c>
      <c r="P742" s="15" t="inlineStr">
        <is>
          <t>P3</t>
        </is>
      </c>
      <c r="Q742" s="15" t="inlineStr">
        <is>
          <t>Idea</t>
        </is>
      </c>
      <c r="R742" s="48">
        <f>INDEX('Start Here'!$B$10:$B$16,WEEKDAY(C742,2))</f>
        <v/>
      </c>
      <c r="S742" s="48">
        <f>MOD(R742+'Start Here'!$B$6/24,1)</f>
        <v/>
      </c>
      <c r="T742" s="15" t="n"/>
      <c r="U742" s="15" t="n"/>
      <c r="V742" s="15" t="n"/>
      <c r="W742" s="15" t="n"/>
      <c r="X742" s="20" t="n"/>
      <c r="Y742" s="15" t="n"/>
    </row>
    <row r="743">
      <c r="A743" s="15" t="n">
        <v>742</v>
      </c>
      <c r="B743" s="16">
        <f>INT((A743-1)/7)+1</f>
        <v/>
      </c>
      <c r="C743" s="47">
        <f>'Start Here'!$B$5+A743-1</f>
        <v/>
      </c>
      <c r="D743" s="16">
        <f>TEXT(C743,"ddd")</f>
        <v/>
      </c>
      <c r="E743" s="15" t="inlineStr">
        <is>
          <t>Story Season</t>
        </is>
      </c>
      <c r="F743" s="27" t="inlineStr">
        <is>
          <t>📚 Moral Stories</t>
        </is>
      </c>
      <c r="G743" s="15" t="n">
        <v>71</v>
      </c>
      <c r="H743" s="15" t="inlineStr">
        <is>
          <t>The Magic Golden Coin</t>
        </is>
      </c>
      <c r="I743" s="15" t="inlineStr">
        <is>
          <t>The Magic Golden Coin 📚 | Moral Stories for Kids | Tiny Sparks</t>
        </is>
      </c>
      <c r="J743" s="15" t="inlineStr">
        <is>
          <t>3–5</t>
        </is>
      </c>
      <c r="K743" s="15" t="inlineStr">
        <is>
          <t>Long 16:9 + Short teaser</t>
        </is>
      </c>
      <c r="L743" s="15" t="inlineStr">
        <is>
          <t>3–5 min (Short: 50 s)</t>
        </is>
      </c>
      <c r="M743" s="15" t="inlineStr">
        <is>
          <t>narrator + guest animals / Mila &amp; Leo</t>
        </is>
      </c>
      <c r="N743" s="15" t="inlineStr">
        <is>
          <t>Value: what really matters</t>
        </is>
      </c>
      <c r="O743" s="15" t="inlineStr">
        <is>
          <t>Yes</t>
        </is>
      </c>
      <c r="P743" s="15" t="inlineStr">
        <is>
          <t>P3</t>
        </is>
      </c>
      <c r="Q743" s="15" t="inlineStr">
        <is>
          <t>Idea</t>
        </is>
      </c>
      <c r="R743" s="48">
        <f>INDEX('Start Here'!$B$10:$B$16,WEEKDAY(C743,2))</f>
        <v/>
      </c>
      <c r="S743" s="48">
        <f>MOD(R743+'Start Here'!$B$6/24,1)</f>
        <v/>
      </c>
      <c r="T743" s="15" t="n"/>
      <c r="U743" s="15" t="n"/>
      <c r="V743" s="15" t="n"/>
      <c r="W743" s="15" t="n"/>
      <c r="X743" s="20" t="n"/>
      <c r="Y743" s="15" t="n"/>
    </row>
    <row r="744">
      <c r="A744" s="15" t="n">
        <v>743</v>
      </c>
      <c r="B744" s="16">
        <f>INT((A744-1)/7)+1</f>
        <v/>
      </c>
      <c r="C744" s="47">
        <f>'Start Here'!$B$5+A744-1</f>
        <v/>
      </c>
      <c r="D744" s="16">
        <f>TEXT(C744,"ddd")</f>
        <v/>
      </c>
      <c r="E744" s="15" t="inlineStr">
        <is>
          <t>Story Season</t>
        </is>
      </c>
      <c r="F744" s="18" t="inlineStr">
        <is>
          <t>🧠 Educational Stories</t>
        </is>
      </c>
      <c r="G744" s="15" t="n">
        <v>72</v>
      </c>
      <c r="H744" s="15" t="inlineStr">
        <is>
          <t>The Little Astronaut's First Mission</t>
        </is>
      </c>
      <c r="I744" s="15" t="inlineStr">
        <is>
          <t>The Little Astronaut's First Mission 🧠 | Kids Stories | Tiny Sparks</t>
        </is>
      </c>
      <c r="J744" s="15" t="inlineStr">
        <is>
          <t>6–8</t>
        </is>
      </c>
      <c r="K744" s="15" t="inlineStr">
        <is>
          <t>Long 16:9 + Short teaser</t>
        </is>
      </c>
      <c r="L744" s="15" t="inlineStr">
        <is>
          <t>3–5 min (Short: 50 s)</t>
        </is>
      </c>
      <c r="M744" s="15" t="inlineStr">
        <is>
          <t>Mila, Leo, Bobo + narrator</t>
        </is>
      </c>
      <c r="N744" s="15" t="inlineStr">
        <is>
          <t>Curiosity + problem solving</t>
        </is>
      </c>
      <c r="O744" s="15" t="inlineStr">
        <is>
          <t>Yes</t>
        </is>
      </c>
      <c r="P744" s="15" t="inlineStr">
        <is>
          <t>P3</t>
        </is>
      </c>
      <c r="Q744" s="15" t="inlineStr">
        <is>
          <t>Idea</t>
        </is>
      </c>
      <c r="R744" s="48">
        <f>INDEX('Start Here'!$B$10:$B$16,WEEKDAY(C744,2))</f>
        <v/>
      </c>
      <c r="S744" s="48">
        <f>MOD(R744+'Start Here'!$B$6/24,1)</f>
        <v/>
      </c>
      <c r="T744" s="15" t="n"/>
      <c r="U744" s="15" t="n"/>
      <c r="V744" s="15" t="n"/>
      <c r="W744" s="15" t="n"/>
      <c r="X744" s="20" t="n"/>
      <c r="Y744" s="15" t="n"/>
    </row>
    <row r="745">
      <c r="A745" s="15" t="n">
        <v>744</v>
      </c>
      <c r="B745" s="16">
        <f>INT((A745-1)/7)+1</f>
        <v/>
      </c>
      <c r="C745" s="47">
        <f>'Start Here'!$B$5+A745-1</f>
        <v/>
      </c>
      <c r="D745" s="16">
        <f>TEXT(C745,"ddd")</f>
        <v/>
      </c>
      <c r="E745" s="15" t="inlineStr">
        <is>
          <t>Story Season</t>
        </is>
      </c>
      <c r="F745" s="27" t="inlineStr">
        <is>
          <t>📚 Moral Stories</t>
        </is>
      </c>
      <c r="G745" s="15" t="n">
        <v>72</v>
      </c>
      <c r="H745" s="15" t="inlineStr">
        <is>
          <t>The Treasure That Wasn't Gold</t>
        </is>
      </c>
      <c r="I745" s="15" t="inlineStr">
        <is>
          <t>The Treasure That Wasn't Gold 📚 | Moral Stories for Kids | Tiny Sparks</t>
        </is>
      </c>
      <c r="J745" s="15" t="inlineStr">
        <is>
          <t>3–5</t>
        </is>
      </c>
      <c r="K745" s="15" t="inlineStr">
        <is>
          <t>Long 16:9 + Short teaser</t>
        </is>
      </c>
      <c r="L745" s="15" t="inlineStr">
        <is>
          <t>3–5 min (Short: 50 s)</t>
        </is>
      </c>
      <c r="M745" s="15" t="inlineStr">
        <is>
          <t>narrator + guest animals / Mila &amp; Leo</t>
        </is>
      </c>
      <c r="N745" s="15" t="inlineStr">
        <is>
          <t>Value: what really matters</t>
        </is>
      </c>
      <c r="O745" s="15" t="inlineStr">
        <is>
          <t>Yes</t>
        </is>
      </c>
      <c r="P745" s="15" t="inlineStr">
        <is>
          <t>P3</t>
        </is>
      </c>
      <c r="Q745" s="15" t="inlineStr">
        <is>
          <t>Idea</t>
        </is>
      </c>
      <c r="R745" s="48">
        <f>INDEX('Start Here'!$B$10:$B$16,WEEKDAY(C745,2))</f>
        <v/>
      </c>
      <c r="S745" s="48">
        <f>MOD(R745+'Start Here'!$B$6/24,1)</f>
        <v/>
      </c>
      <c r="T745" s="15" t="n"/>
      <c r="U745" s="15" t="n"/>
      <c r="V745" s="15" t="n"/>
      <c r="W745" s="15" t="n"/>
      <c r="X745" s="20" t="n"/>
      <c r="Y745" s="15" t="n"/>
    </row>
    <row r="746">
      <c r="A746" s="15" t="n">
        <v>745</v>
      </c>
      <c r="B746" s="16">
        <f>INT((A746-1)/7)+1</f>
        <v/>
      </c>
      <c r="C746" s="47">
        <f>'Start Here'!$B$5+A746-1</f>
        <v/>
      </c>
      <c r="D746" s="16">
        <f>TEXT(C746,"ddd")</f>
        <v/>
      </c>
      <c r="E746" s="15" t="inlineStr">
        <is>
          <t>Story Season</t>
        </is>
      </c>
      <c r="F746" s="18" t="inlineStr">
        <is>
          <t>🧠 Educational Stories</t>
        </is>
      </c>
      <c r="G746" s="15" t="n">
        <v>73</v>
      </c>
      <c r="H746" s="15" t="inlineStr">
        <is>
          <t>Emma Learns About the Ocean</t>
        </is>
      </c>
      <c r="I746" s="15" t="inlineStr">
        <is>
          <t>Mila Learns About the Ocean 🧠 | Kids Stories | Tiny Sparks</t>
        </is>
      </c>
      <c r="J746" s="15" t="inlineStr">
        <is>
          <t>3–5</t>
        </is>
      </c>
      <c r="K746" s="15" t="inlineStr">
        <is>
          <t>Long 16:9 + Short teaser</t>
        </is>
      </c>
      <c r="L746" s="15" t="inlineStr">
        <is>
          <t>3–5 min (Short: 50 s)</t>
        </is>
      </c>
      <c r="M746" s="15" t="inlineStr">
        <is>
          <t>Mila (lead) · Mila, Leo, Bobo + narrator</t>
        </is>
      </c>
      <c r="N746" s="15" t="inlineStr">
        <is>
          <t>Life skill: the Ocean</t>
        </is>
      </c>
      <c r="O746" s="15" t="inlineStr">
        <is>
          <t>Yes</t>
        </is>
      </c>
      <c r="P746" s="15" t="inlineStr">
        <is>
          <t>P3</t>
        </is>
      </c>
      <c r="Q746" s="15" t="inlineStr">
        <is>
          <t>Idea</t>
        </is>
      </c>
      <c r="R746" s="48">
        <f>INDEX('Start Here'!$B$10:$B$16,WEEKDAY(C746,2))</f>
        <v/>
      </c>
      <c r="S746" s="48">
        <f>MOD(R746+'Start Here'!$B$6/24,1)</f>
        <v/>
      </c>
      <c r="T746" s="15" t="n"/>
      <c r="U746" s="15" t="n"/>
      <c r="V746" s="15" t="n"/>
      <c r="W746" s="15" t="n"/>
      <c r="X746" s="20" t="n"/>
      <c r="Y746" s="15" t="n"/>
    </row>
    <row r="747">
      <c r="A747" s="15" t="n">
        <v>746</v>
      </c>
      <c r="B747" s="16">
        <f>INT((A747-1)/7)+1</f>
        <v/>
      </c>
      <c r="C747" s="47">
        <f>'Start Here'!$B$5+A747-1</f>
        <v/>
      </c>
      <c r="D747" s="16">
        <f>TEXT(C747,"ddd")</f>
        <v/>
      </c>
      <c r="E747" s="15" t="inlineStr">
        <is>
          <t>Story Season</t>
        </is>
      </c>
      <c r="F747" s="27" t="inlineStr">
        <is>
          <t>📚 Moral Stories</t>
        </is>
      </c>
      <c r="G747" s="15" t="n">
        <v>73</v>
      </c>
      <c r="H747" s="15" t="inlineStr">
        <is>
          <t>The Magic Tree</t>
        </is>
      </c>
      <c r="I747" s="15" t="inlineStr">
        <is>
          <t>The Magic Tree 📚 | Moral Stories for Kids | Tiny Sparks</t>
        </is>
      </c>
      <c r="J747" s="15" t="inlineStr">
        <is>
          <t>3–5</t>
        </is>
      </c>
      <c r="K747" s="15" t="inlineStr">
        <is>
          <t>Long 16:9 + Short teaser</t>
        </is>
      </c>
      <c r="L747" s="15" t="inlineStr">
        <is>
          <t>3–5 min (Short: 50 s)</t>
        </is>
      </c>
      <c r="M747" s="15" t="inlineStr">
        <is>
          <t>narrator + guest animals / Mila &amp; Leo</t>
        </is>
      </c>
      <c r="N747" s="15" t="inlineStr">
        <is>
          <t>Value: caring for the planet</t>
        </is>
      </c>
      <c r="O747" s="15" t="inlineStr">
        <is>
          <t>Yes</t>
        </is>
      </c>
      <c r="P747" s="15" t="inlineStr">
        <is>
          <t>P3</t>
        </is>
      </c>
      <c r="Q747" s="15" t="inlineStr">
        <is>
          <t>Idea</t>
        </is>
      </c>
      <c r="R747" s="48">
        <f>INDEX('Start Here'!$B$10:$B$16,WEEKDAY(C747,2))</f>
        <v/>
      </c>
      <c r="S747" s="48">
        <f>MOD(R747+'Start Here'!$B$6/24,1)</f>
        <v/>
      </c>
      <c r="T747" s="15" t="n"/>
      <c r="U747" s="15" t="n"/>
      <c r="V747" s="15" t="n"/>
      <c r="W747" s="15" t="n"/>
      <c r="X747" s="20" t="n"/>
      <c r="Y747" s="15" t="n"/>
    </row>
    <row r="748">
      <c r="A748" s="15" t="n">
        <v>747</v>
      </c>
      <c r="B748" s="16">
        <f>INT((A748-1)/7)+1</f>
        <v/>
      </c>
      <c r="C748" s="47">
        <f>'Start Here'!$B$5+A748-1</f>
        <v/>
      </c>
      <c r="D748" s="16">
        <f>TEXT(C748,"ddd")</f>
        <v/>
      </c>
      <c r="E748" s="15" t="inlineStr">
        <is>
          <t>Story Season</t>
        </is>
      </c>
      <c r="F748" s="18" t="inlineStr">
        <is>
          <t>🧠 Educational Stories</t>
        </is>
      </c>
      <c r="G748" s="15" t="n">
        <v>74</v>
      </c>
      <c r="H748" s="15" t="inlineStr">
        <is>
          <t>Max and the Mystery of the Volcano</t>
        </is>
      </c>
      <c r="I748" s="15" t="inlineStr">
        <is>
          <t>Leo and the Mystery of the Volcano 🧠 | Kids Stories | Tiny Sparks</t>
        </is>
      </c>
      <c r="J748" s="15" t="inlineStr">
        <is>
          <t>6–8</t>
        </is>
      </c>
      <c r="K748" s="15" t="inlineStr">
        <is>
          <t>Long 16:9 + Short teaser</t>
        </is>
      </c>
      <c r="L748" s="15" t="inlineStr">
        <is>
          <t>3–5 min (Short: 50 s)</t>
        </is>
      </c>
      <c r="M748" s="15" t="inlineStr">
        <is>
          <t>Leo (lead) · Mila, Leo, Bobo + narrator</t>
        </is>
      </c>
      <c r="N748" s="15" t="inlineStr">
        <is>
          <t>Curiosity + problem solving</t>
        </is>
      </c>
      <c r="O748" s="15" t="inlineStr">
        <is>
          <t>Yes</t>
        </is>
      </c>
      <c r="P748" s="15" t="inlineStr">
        <is>
          <t>P3</t>
        </is>
      </c>
      <c r="Q748" s="15" t="inlineStr">
        <is>
          <t>Idea</t>
        </is>
      </c>
      <c r="R748" s="48">
        <f>INDEX('Start Here'!$B$10:$B$16,WEEKDAY(C748,2))</f>
        <v/>
      </c>
      <c r="S748" s="48">
        <f>MOD(R748+'Start Here'!$B$6/24,1)</f>
        <v/>
      </c>
      <c r="T748" s="15" t="n"/>
      <c r="U748" s="15" t="n"/>
      <c r="V748" s="15" t="n"/>
      <c r="W748" s="15" t="n"/>
      <c r="X748" s="20" t="n"/>
      <c r="Y748" s="15" t="n"/>
    </row>
    <row r="749">
      <c r="A749" s="15" t="n">
        <v>748</v>
      </c>
      <c r="B749" s="16">
        <f>INT((A749-1)/7)+1</f>
        <v/>
      </c>
      <c r="C749" s="47">
        <f>'Start Here'!$B$5+A749-1</f>
        <v/>
      </c>
      <c r="D749" s="16">
        <f>TEXT(C749,"ddd")</f>
        <v/>
      </c>
      <c r="E749" s="15" t="inlineStr">
        <is>
          <t>Story Season</t>
        </is>
      </c>
      <c r="F749" s="27" t="inlineStr">
        <is>
          <t>📚 Moral Stories</t>
        </is>
      </c>
      <c r="G749" s="15" t="n">
        <v>74</v>
      </c>
      <c r="H749" s="15" t="inlineStr">
        <is>
          <t>The Wish That Taught a Lesson</t>
        </is>
      </c>
      <c r="I749" s="15" t="inlineStr">
        <is>
          <t>The Wish That Taught a Lesson 📚 | Moral Stories for Kids | Tiny Sparks</t>
        </is>
      </c>
      <c r="J749" s="15" t="inlineStr">
        <is>
          <t>3–5</t>
        </is>
      </c>
      <c r="K749" s="15" t="inlineStr">
        <is>
          <t>Long 16:9 + Short teaser</t>
        </is>
      </c>
      <c r="L749" s="15" t="inlineStr">
        <is>
          <t>3–5 min (Short: 50 s)</t>
        </is>
      </c>
      <c r="M749" s="15" t="inlineStr">
        <is>
          <t>narrator + guest animals / Mila &amp; Leo</t>
        </is>
      </c>
      <c r="N749" s="15" t="inlineStr">
        <is>
          <t>Value: what really matters</t>
        </is>
      </c>
      <c r="O749" s="15" t="inlineStr">
        <is>
          <t>Yes</t>
        </is>
      </c>
      <c r="P749" s="15" t="inlineStr">
        <is>
          <t>P3</t>
        </is>
      </c>
      <c r="Q749" s="15" t="inlineStr">
        <is>
          <t>Idea</t>
        </is>
      </c>
      <c r="R749" s="48">
        <f>INDEX('Start Here'!$B$10:$B$16,WEEKDAY(C749,2))</f>
        <v/>
      </c>
      <c r="S749" s="48">
        <f>MOD(R749+'Start Here'!$B$6/24,1)</f>
        <v/>
      </c>
      <c r="T749" s="15" t="n"/>
      <c r="U749" s="15" t="n"/>
      <c r="V749" s="15" t="n"/>
      <c r="W749" s="15" t="n"/>
      <c r="X749" s="20" t="n"/>
      <c r="Y749" s="15" t="n"/>
    </row>
    <row r="750">
      <c r="A750" s="15" t="n">
        <v>749</v>
      </c>
      <c r="B750" s="16">
        <f>INT((A750-1)/7)+1</f>
        <v/>
      </c>
      <c r="C750" s="47">
        <f>'Start Here'!$B$5+A750-1</f>
        <v/>
      </c>
      <c r="D750" s="16">
        <f>TEXT(C750,"ddd")</f>
        <v/>
      </c>
      <c r="E750" s="15" t="inlineStr">
        <is>
          <t>Story Season</t>
        </is>
      </c>
      <c r="F750" s="18" t="inlineStr">
        <is>
          <t>🧠 Educational Stories</t>
        </is>
      </c>
      <c r="G750" s="15" t="n">
        <v>75</v>
      </c>
      <c r="H750" s="15" t="inlineStr">
        <is>
          <t>Sara Discovers the World of Insects</t>
        </is>
      </c>
      <c r="I750" s="15" t="inlineStr">
        <is>
          <t>Mila Discovers the World of Insects 🧠 | Kids Stories | Tiny Sparks</t>
        </is>
      </c>
      <c r="J750" s="15" t="inlineStr">
        <is>
          <t>3–5</t>
        </is>
      </c>
      <c r="K750" s="15" t="inlineStr">
        <is>
          <t>Long 16:9 + Short teaser</t>
        </is>
      </c>
      <c r="L750" s="15" t="inlineStr">
        <is>
          <t>3–5 min (Short: 50 s)</t>
        </is>
      </c>
      <c r="M750" s="15" t="inlineStr">
        <is>
          <t>Mila (lead) · Mila, Leo, Bobo + narrator</t>
        </is>
      </c>
      <c r="N750" s="15" t="inlineStr">
        <is>
          <t>Life skill: World of Insects</t>
        </is>
      </c>
      <c r="O750" s="15" t="inlineStr">
        <is>
          <t>Build first: insects</t>
        </is>
      </c>
      <c r="P750" s="15" t="inlineStr">
        <is>
          <t>P3</t>
        </is>
      </c>
      <c r="Q750" s="15" t="inlineStr">
        <is>
          <t>Idea</t>
        </is>
      </c>
      <c r="R750" s="48">
        <f>INDEX('Start Here'!$B$10:$B$16,WEEKDAY(C750,2))</f>
        <v/>
      </c>
      <c r="S750" s="48">
        <f>MOD(R750+'Start Here'!$B$6/24,1)</f>
        <v/>
      </c>
      <c r="T750" s="15" t="n"/>
      <c r="U750" s="15" t="n"/>
      <c r="V750" s="15" t="n"/>
      <c r="W750" s="15" t="n"/>
      <c r="X750" s="20" t="n"/>
      <c r="Y750" s="15" t="n"/>
    </row>
    <row r="751">
      <c r="A751" s="15" t="n">
        <v>750</v>
      </c>
      <c r="B751" s="16">
        <f>INT((A751-1)/7)+1</f>
        <v/>
      </c>
      <c r="C751" s="47">
        <f>'Start Here'!$B$5+A751-1</f>
        <v/>
      </c>
      <c r="D751" s="16">
        <f>TEXT(C751,"ddd")</f>
        <v/>
      </c>
      <c r="E751" s="15" t="inlineStr">
        <is>
          <t>Story Season</t>
        </is>
      </c>
      <c r="F751" s="27" t="inlineStr">
        <is>
          <t>📚 Moral Stories</t>
        </is>
      </c>
      <c r="G751" s="15" t="n">
        <v>75</v>
      </c>
      <c r="H751" s="15" t="inlineStr">
        <is>
          <t>The Magical Backpack</t>
        </is>
      </c>
      <c r="I751" s="15" t="inlineStr">
        <is>
          <t>The Magical Backpack 📚 | Moral Stories for Kids | Tiny Sparks</t>
        </is>
      </c>
      <c r="J751" s="15" t="inlineStr">
        <is>
          <t>3–5</t>
        </is>
      </c>
      <c r="K751" s="15" t="inlineStr">
        <is>
          <t>Long 16:9 + Short teaser</t>
        </is>
      </c>
      <c r="L751" s="15" t="inlineStr">
        <is>
          <t>3–5 min (Short: 50 s)</t>
        </is>
      </c>
      <c r="M751" s="15" t="inlineStr">
        <is>
          <t>narrator + guest animals / Mila &amp; Leo</t>
        </is>
      </c>
      <c r="N751" s="15" t="inlineStr">
        <is>
          <t>Value: kindness</t>
        </is>
      </c>
      <c r="O751" s="15" t="inlineStr">
        <is>
          <t>Yes</t>
        </is>
      </c>
      <c r="P751" s="15" t="inlineStr">
        <is>
          <t>P3</t>
        </is>
      </c>
      <c r="Q751" s="15" t="inlineStr">
        <is>
          <t>Idea</t>
        </is>
      </c>
      <c r="R751" s="48">
        <f>INDEX('Start Here'!$B$10:$B$16,WEEKDAY(C751,2))</f>
        <v/>
      </c>
      <c r="S751" s="48">
        <f>MOD(R751+'Start Here'!$B$6/24,1)</f>
        <v/>
      </c>
      <c r="T751" s="15" t="n"/>
      <c r="U751" s="15" t="n"/>
      <c r="V751" s="15" t="n"/>
      <c r="W751" s="15" t="n"/>
      <c r="X751" s="20" t="n"/>
      <c r="Y751" s="15" t="n"/>
    </row>
    <row r="752">
      <c r="A752" s="15" t="n">
        <v>751</v>
      </c>
      <c r="B752" s="16">
        <f>INT((A752-1)/7)+1</f>
        <v/>
      </c>
      <c r="C752" s="47">
        <f>'Start Here'!$B$5+A752-1</f>
        <v/>
      </c>
      <c r="D752" s="16">
        <f>TEXT(C752,"ddd")</f>
        <v/>
      </c>
      <c r="E752" s="15" t="inlineStr">
        <is>
          <t>Story Season</t>
        </is>
      </c>
      <c r="F752" s="18" t="inlineStr">
        <is>
          <t>🧠 Educational Stories</t>
        </is>
      </c>
      <c r="G752" s="15" t="n">
        <v>76</v>
      </c>
      <c r="H752" s="15" t="inlineStr">
        <is>
          <t>The Forest Adventure</t>
        </is>
      </c>
      <c r="I752" s="15" t="inlineStr">
        <is>
          <t>The Forest Adventure 🧠 | Kids Stories | Tiny Sparks</t>
        </is>
      </c>
      <c r="J752" s="15" t="inlineStr">
        <is>
          <t>3–5</t>
        </is>
      </c>
      <c r="K752" s="15" t="inlineStr">
        <is>
          <t>Long 16:9 + Short teaser</t>
        </is>
      </c>
      <c r="L752" s="15" t="inlineStr">
        <is>
          <t>3–5 min (Short: 50 s)</t>
        </is>
      </c>
      <c r="M752" s="15" t="inlineStr">
        <is>
          <t>Mila, Leo, Bobo + narrator</t>
        </is>
      </c>
      <c r="N752" s="15" t="inlineStr">
        <is>
          <t>Life skill: caring for the planet</t>
        </is>
      </c>
      <c r="O752" s="15" t="inlineStr">
        <is>
          <t>Yes</t>
        </is>
      </c>
      <c r="P752" s="15" t="inlineStr">
        <is>
          <t>P3</t>
        </is>
      </c>
      <c r="Q752" s="15" t="inlineStr">
        <is>
          <t>Idea</t>
        </is>
      </c>
      <c r="R752" s="48">
        <f>INDEX('Start Here'!$B$10:$B$16,WEEKDAY(C752,2))</f>
        <v/>
      </c>
      <c r="S752" s="48">
        <f>MOD(R752+'Start Here'!$B$6/24,1)</f>
        <v/>
      </c>
      <c r="T752" s="15" t="n"/>
      <c r="U752" s="15" t="n"/>
      <c r="V752" s="15" t="n"/>
      <c r="W752" s="15" t="n"/>
      <c r="X752" s="20" t="n"/>
      <c r="Y752" s="15" t="n"/>
    </row>
    <row r="753">
      <c r="A753" s="15" t="n">
        <v>752</v>
      </c>
      <c r="B753" s="16">
        <f>INT((A753-1)/7)+1</f>
        <v/>
      </c>
      <c r="C753" s="47">
        <f>'Start Here'!$B$5+A753-1</f>
        <v/>
      </c>
      <c r="D753" s="16">
        <f>TEXT(C753,"ddd")</f>
        <v/>
      </c>
      <c r="E753" s="15" t="inlineStr">
        <is>
          <t>Story Season</t>
        </is>
      </c>
      <c r="F753" s="27" t="inlineStr">
        <is>
          <t>📚 Moral Stories</t>
        </is>
      </c>
      <c r="G753" s="15" t="n">
        <v>76</v>
      </c>
      <c r="H753" s="15" t="inlineStr">
        <is>
          <t>The Talking Clock</t>
        </is>
      </c>
      <c r="I753" s="15" t="inlineStr">
        <is>
          <t>The Talking Clock 📚 | Moral Stories for Kids | Tiny Sparks</t>
        </is>
      </c>
      <c r="J753" s="15" t="inlineStr">
        <is>
          <t>6–8</t>
        </is>
      </c>
      <c r="K753" s="15" t="inlineStr">
        <is>
          <t>Long 16:9 + Short teaser</t>
        </is>
      </c>
      <c r="L753" s="15" t="inlineStr">
        <is>
          <t>3–5 min (Short: 50 s)</t>
        </is>
      </c>
      <c r="M753" s="15" t="inlineStr">
        <is>
          <t>narrator + guest animals / Mila &amp; Leo</t>
        </is>
      </c>
      <c r="N753" s="15" t="inlineStr">
        <is>
          <t>Value: kindness</t>
        </is>
      </c>
      <c r="O753" s="15" t="inlineStr">
        <is>
          <t>Yes</t>
        </is>
      </c>
      <c r="P753" s="15" t="inlineStr">
        <is>
          <t>P3</t>
        </is>
      </c>
      <c r="Q753" s="15" t="inlineStr">
        <is>
          <t>Idea</t>
        </is>
      </c>
      <c r="R753" s="48">
        <f>INDEX('Start Here'!$B$10:$B$16,WEEKDAY(C753,2))</f>
        <v/>
      </c>
      <c r="S753" s="48">
        <f>MOD(R753+'Start Here'!$B$6/24,1)</f>
        <v/>
      </c>
      <c r="T753" s="15" t="n"/>
      <c r="U753" s="15" t="n"/>
      <c r="V753" s="15" t="n"/>
      <c r="W753" s="15" t="n"/>
      <c r="X753" s="20" t="n"/>
      <c r="Y753" s="15" t="n"/>
    </row>
    <row r="754">
      <c r="A754" s="15" t="n">
        <v>753</v>
      </c>
      <c r="B754" s="16">
        <f>INT((A754-1)/7)+1</f>
        <v/>
      </c>
      <c r="C754" s="47">
        <f>'Start Here'!$B$5+A754-1</f>
        <v/>
      </c>
      <c r="D754" s="16">
        <f>TEXT(C754,"ddd")</f>
        <v/>
      </c>
      <c r="E754" s="15" t="inlineStr">
        <is>
          <t>Story Season</t>
        </is>
      </c>
      <c r="F754" s="18" t="inlineStr">
        <is>
          <t>🧠 Educational Stories</t>
        </is>
      </c>
      <c r="G754" s="15" t="n">
        <v>77</v>
      </c>
      <c r="H754" s="15" t="inlineStr">
        <is>
          <t>Tommy Learns About Weather</t>
        </is>
      </c>
      <c r="I754" s="15" t="inlineStr">
        <is>
          <t>Leo Learns About Weather 🧠 | Kids Stories | Tiny Sparks</t>
        </is>
      </c>
      <c r="J754" s="15" t="inlineStr">
        <is>
          <t>3–5</t>
        </is>
      </c>
      <c r="K754" s="15" t="inlineStr">
        <is>
          <t>Long 16:9 + Short teaser</t>
        </is>
      </c>
      <c r="L754" s="15" t="inlineStr">
        <is>
          <t>3–5 min (Short: 50 s)</t>
        </is>
      </c>
      <c r="M754" s="15" t="inlineStr">
        <is>
          <t>Leo (lead) · Mila, Leo, Bobo + narrator</t>
        </is>
      </c>
      <c r="N754" s="15" t="inlineStr">
        <is>
          <t>Life skill: Weather</t>
        </is>
      </c>
      <c r="O754" s="15" t="inlineStr">
        <is>
          <t>Yes</t>
        </is>
      </c>
      <c r="P754" s="15" t="inlineStr">
        <is>
          <t>P3</t>
        </is>
      </c>
      <c r="Q754" s="15" t="inlineStr">
        <is>
          <t>Idea</t>
        </is>
      </c>
      <c r="R754" s="48">
        <f>INDEX('Start Here'!$B$10:$B$16,WEEKDAY(C754,2))</f>
        <v/>
      </c>
      <c r="S754" s="48">
        <f>MOD(R754+'Start Here'!$B$6/24,1)</f>
        <v/>
      </c>
      <c r="T754" s="15" t="n"/>
      <c r="U754" s="15" t="n"/>
      <c r="V754" s="15" t="n"/>
      <c r="W754" s="15" t="n"/>
      <c r="X754" s="20" t="n"/>
      <c r="Y754" s="15" t="n"/>
    </row>
    <row r="755">
      <c r="A755" s="15" t="n">
        <v>754</v>
      </c>
      <c r="B755" s="16">
        <f>INT((A755-1)/7)+1</f>
        <v/>
      </c>
      <c r="C755" s="47">
        <f>'Start Here'!$B$5+A755-1</f>
        <v/>
      </c>
      <c r="D755" s="16">
        <f>TEXT(C755,"ddd")</f>
        <v/>
      </c>
      <c r="E755" s="15" t="inlineStr">
        <is>
          <t>Story Season</t>
        </is>
      </c>
      <c r="F755" s="27" t="inlineStr">
        <is>
          <t>📚 Moral Stories</t>
        </is>
      </c>
      <c r="G755" s="15" t="n">
        <v>77</v>
      </c>
      <c r="H755" s="15" t="inlineStr">
        <is>
          <t>The Door of Kindness</t>
        </is>
      </c>
      <c r="I755" s="15" t="inlineStr">
        <is>
          <t>The Door of Kindness 📚 | Moral Stories for Kids | Tiny Sparks</t>
        </is>
      </c>
      <c r="J755" s="15" t="inlineStr">
        <is>
          <t>3–5</t>
        </is>
      </c>
      <c r="K755" s="15" t="inlineStr">
        <is>
          <t>Long 16:9 + Short teaser</t>
        </is>
      </c>
      <c r="L755" s="15" t="inlineStr">
        <is>
          <t>3–5 min (Short: 50 s)</t>
        </is>
      </c>
      <c r="M755" s="15" t="inlineStr">
        <is>
          <t>narrator + guest animals / Mila &amp; Leo</t>
        </is>
      </c>
      <c r="N755" s="15" t="inlineStr">
        <is>
          <t>Value: kindness</t>
        </is>
      </c>
      <c r="O755" s="15" t="inlineStr">
        <is>
          <t>Yes</t>
        </is>
      </c>
      <c r="P755" s="15" t="inlineStr">
        <is>
          <t>P3</t>
        </is>
      </c>
      <c r="Q755" s="15" t="inlineStr">
        <is>
          <t>Idea</t>
        </is>
      </c>
      <c r="R755" s="48">
        <f>INDEX('Start Here'!$B$10:$B$16,WEEKDAY(C755,2))</f>
        <v/>
      </c>
      <c r="S755" s="48">
        <f>MOD(R755+'Start Here'!$B$6/24,1)</f>
        <v/>
      </c>
      <c r="T755" s="15" t="n"/>
      <c r="U755" s="15" t="n"/>
      <c r="V755" s="15" t="n"/>
      <c r="W755" s="15" t="n"/>
      <c r="X755" s="20" t="n"/>
      <c r="Y755" s="15" t="n"/>
    </row>
    <row r="756">
      <c r="A756" s="15" t="n">
        <v>755</v>
      </c>
      <c r="B756" s="16">
        <f>INT((A756-1)/7)+1</f>
        <v/>
      </c>
      <c r="C756" s="47">
        <f>'Start Here'!$B$5+A756-1</f>
        <v/>
      </c>
      <c r="D756" s="16">
        <f>TEXT(C756,"ddd")</f>
        <v/>
      </c>
      <c r="E756" s="15" t="inlineStr">
        <is>
          <t>Story Season</t>
        </is>
      </c>
      <c r="F756" s="18" t="inlineStr">
        <is>
          <t>🧠 Educational Stories</t>
        </is>
      </c>
      <c r="G756" s="15" t="n">
        <v>78</v>
      </c>
      <c r="H756" s="15" t="inlineStr">
        <is>
          <t>Mia and the Four Seasons</t>
        </is>
      </c>
      <c r="I756" s="15" t="inlineStr">
        <is>
          <t>Mila and the Four Seasons 🧠 | Kids Stories | Tiny Sparks</t>
        </is>
      </c>
      <c r="J756" s="15" t="inlineStr">
        <is>
          <t>3–5</t>
        </is>
      </c>
      <c r="K756" s="15" t="inlineStr">
        <is>
          <t>Long 16:9 + Short teaser</t>
        </is>
      </c>
      <c r="L756" s="15" t="inlineStr">
        <is>
          <t>3–5 min (Short: 50 s)</t>
        </is>
      </c>
      <c r="M756" s="15" t="inlineStr">
        <is>
          <t>Mila (lead) · Mila, Leo, Bobo + narrator</t>
        </is>
      </c>
      <c r="N756" s="15" t="inlineStr">
        <is>
          <t>Curiosity + problem solving</t>
        </is>
      </c>
      <c r="O756" s="15" t="inlineStr">
        <is>
          <t>Yes</t>
        </is>
      </c>
      <c r="P756" s="15" t="inlineStr">
        <is>
          <t>P3</t>
        </is>
      </c>
      <c r="Q756" s="15" t="inlineStr">
        <is>
          <t>Idea</t>
        </is>
      </c>
      <c r="R756" s="48">
        <f>INDEX('Start Here'!$B$10:$B$16,WEEKDAY(C756,2))</f>
        <v/>
      </c>
      <c r="S756" s="48">
        <f>MOD(R756+'Start Here'!$B$6/24,1)</f>
        <v/>
      </c>
      <c r="T756" s="15" t="n"/>
      <c r="U756" s="15" t="n"/>
      <c r="V756" s="15" t="n"/>
      <c r="W756" s="15" t="n"/>
      <c r="X756" s="20" t="n"/>
      <c r="Y756" s="15" t="n"/>
    </row>
    <row r="757">
      <c r="A757" s="15" t="n">
        <v>756</v>
      </c>
      <c r="B757" s="16">
        <f>INT((A757-1)/7)+1</f>
        <v/>
      </c>
      <c r="C757" s="47">
        <f>'Start Here'!$B$5+A757-1</f>
        <v/>
      </c>
      <c r="D757" s="16">
        <f>TEXT(C757,"ddd")</f>
        <v/>
      </c>
      <c r="E757" s="15" t="inlineStr">
        <is>
          <t>Story Season</t>
        </is>
      </c>
      <c r="F757" s="27" t="inlineStr">
        <is>
          <t>📚 Moral Stories</t>
        </is>
      </c>
      <c r="G757" s="15" t="n">
        <v>78</v>
      </c>
      <c r="H757" s="15" t="inlineStr">
        <is>
          <t>The Village of Helpers</t>
        </is>
      </c>
      <c r="I757" s="15" t="inlineStr">
        <is>
          <t>The Village of Helpers 📚 | Moral Stories for Kids | Tiny Sparks</t>
        </is>
      </c>
      <c r="J757" s="15" t="inlineStr">
        <is>
          <t>3–5</t>
        </is>
      </c>
      <c r="K757" s="15" t="inlineStr">
        <is>
          <t>Long 16:9 + Short teaser</t>
        </is>
      </c>
      <c r="L757" s="15" t="inlineStr">
        <is>
          <t>3–5 min (Short: 50 s)</t>
        </is>
      </c>
      <c r="M757" s="15" t="inlineStr">
        <is>
          <t>narrator + guest animals / Mila &amp; Leo</t>
        </is>
      </c>
      <c r="N757" s="15" t="inlineStr">
        <is>
          <t>Value: helping others</t>
        </is>
      </c>
      <c r="O757" s="15" t="inlineStr">
        <is>
          <t>Yes</t>
        </is>
      </c>
      <c r="P757" s="15" t="inlineStr">
        <is>
          <t>P3</t>
        </is>
      </c>
      <c r="Q757" s="15" t="inlineStr">
        <is>
          <t>Idea</t>
        </is>
      </c>
      <c r="R757" s="48">
        <f>INDEX('Start Here'!$B$10:$B$16,WEEKDAY(C757,2))</f>
        <v/>
      </c>
      <c r="S757" s="48">
        <f>MOD(R757+'Start Here'!$B$6/24,1)</f>
        <v/>
      </c>
      <c r="T757" s="15" t="n"/>
      <c r="U757" s="15" t="n"/>
      <c r="V757" s="15" t="n"/>
      <c r="W757" s="15" t="n"/>
      <c r="X757" s="20" t="n"/>
      <c r="Y757" s="15" t="n"/>
    </row>
    <row r="758">
      <c r="A758" s="15" t="n">
        <v>757</v>
      </c>
      <c r="B758" s="16">
        <f>INT((A758-1)/7)+1</f>
        <v/>
      </c>
      <c r="C758" s="47">
        <f>'Start Here'!$B$5+A758-1</f>
        <v/>
      </c>
      <c r="D758" s="16">
        <f>TEXT(C758,"ddd")</f>
        <v/>
      </c>
      <c r="E758" s="15" t="inlineStr">
        <is>
          <t>Story Season</t>
        </is>
      </c>
      <c r="F758" s="18" t="inlineStr">
        <is>
          <t>🧠 Educational Stories</t>
        </is>
      </c>
      <c r="G758" s="15" t="n">
        <v>79</v>
      </c>
      <c r="H758" s="15" t="inlineStr">
        <is>
          <t>The Little Engineer Builds a Bridge</t>
        </is>
      </c>
      <c r="I758" s="15" t="inlineStr">
        <is>
          <t>The Little Engineer Builds a Bridge 🧠 | Kids Stories | Tiny Sparks</t>
        </is>
      </c>
      <c r="J758" s="15" t="inlineStr">
        <is>
          <t>6–8</t>
        </is>
      </c>
      <c r="K758" s="15" t="inlineStr">
        <is>
          <t>Long 16:9 + Short teaser</t>
        </is>
      </c>
      <c r="L758" s="15" t="inlineStr">
        <is>
          <t>3–5 min (Short: 50 s)</t>
        </is>
      </c>
      <c r="M758" s="15" t="inlineStr">
        <is>
          <t>Mila, Leo, Bobo + narrator</t>
        </is>
      </c>
      <c r="N758" s="15" t="inlineStr">
        <is>
          <t>Curiosity + problem solving</t>
        </is>
      </c>
      <c r="O758" s="15" t="inlineStr">
        <is>
          <t>Yes</t>
        </is>
      </c>
      <c r="P758" s="15" t="inlineStr">
        <is>
          <t>P3</t>
        </is>
      </c>
      <c r="Q758" s="15" t="inlineStr">
        <is>
          <t>Idea</t>
        </is>
      </c>
      <c r="R758" s="48">
        <f>INDEX('Start Here'!$B$10:$B$16,WEEKDAY(C758,2))</f>
        <v/>
      </c>
      <c r="S758" s="48">
        <f>MOD(R758+'Start Here'!$B$6/24,1)</f>
        <v/>
      </c>
      <c r="T758" s="15" t="n"/>
      <c r="U758" s="15" t="n"/>
      <c r="V758" s="15" t="n"/>
      <c r="W758" s="15" t="n"/>
      <c r="X758" s="20" t="n"/>
      <c r="Y758" s="15" t="n"/>
    </row>
    <row r="759">
      <c r="A759" s="15" t="n">
        <v>758</v>
      </c>
      <c r="B759" s="16">
        <f>INT((A759-1)/7)+1</f>
        <v/>
      </c>
      <c r="C759" s="47">
        <f>'Start Here'!$B$5+A759-1</f>
        <v/>
      </c>
      <c r="D759" s="16">
        <f>TEXT(C759,"ddd")</f>
        <v/>
      </c>
      <c r="E759" s="15" t="inlineStr">
        <is>
          <t>Story Season</t>
        </is>
      </c>
      <c r="F759" s="27" t="inlineStr">
        <is>
          <t>📚 Moral Stories</t>
        </is>
      </c>
      <c r="G759" s="15" t="n">
        <v>79</v>
      </c>
      <c r="H759" s="15" t="inlineStr">
        <is>
          <t>The Kingdom Where Everyone Shared</t>
        </is>
      </c>
      <c r="I759" s="15" t="inlineStr">
        <is>
          <t>The Kingdom Where Everyone Shared 📚 | Moral Stories for Kids | Tiny Sparks</t>
        </is>
      </c>
      <c r="J759" s="15" t="inlineStr">
        <is>
          <t>6–8</t>
        </is>
      </c>
      <c r="K759" s="15" t="inlineStr">
        <is>
          <t>Long 16:9 + Short teaser</t>
        </is>
      </c>
      <c r="L759" s="15" t="inlineStr">
        <is>
          <t>3–5 min (Short: 50 s)</t>
        </is>
      </c>
      <c r="M759" s="15" t="inlineStr">
        <is>
          <t>narrator + guest animals / Mila &amp; Leo</t>
        </is>
      </c>
      <c r="N759" s="15" t="inlineStr">
        <is>
          <t>Value: sharing</t>
        </is>
      </c>
      <c r="O759" s="15" t="inlineStr">
        <is>
          <t>Yes</t>
        </is>
      </c>
      <c r="P759" s="15" t="inlineStr">
        <is>
          <t>P3</t>
        </is>
      </c>
      <c r="Q759" s="15" t="inlineStr">
        <is>
          <t>Idea</t>
        </is>
      </c>
      <c r="R759" s="48">
        <f>INDEX('Start Here'!$B$10:$B$16,WEEKDAY(C759,2))</f>
        <v/>
      </c>
      <c r="S759" s="48">
        <f>MOD(R759+'Start Here'!$B$6/24,1)</f>
        <v/>
      </c>
      <c r="T759" s="15" t="n"/>
      <c r="U759" s="15" t="n"/>
      <c r="V759" s="15" t="n"/>
      <c r="W759" s="15" t="n"/>
      <c r="X759" s="20" t="n"/>
      <c r="Y759" s="15" t="n"/>
    </row>
    <row r="760">
      <c r="A760" s="15" t="n">
        <v>759</v>
      </c>
      <c r="B760" s="16">
        <f>INT((A760-1)/7)+1</f>
        <v/>
      </c>
      <c r="C760" s="47">
        <f>'Start Here'!$B$5+A760-1</f>
        <v/>
      </c>
      <c r="D760" s="16">
        <f>TEXT(C760,"ddd")</f>
        <v/>
      </c>
      <c r="E760" s="15" t="inlineStr">
        <is>
          <t>Story Season</t>
        </is>
      </c>
      <c r="F760" s="18" t="inlineStr">
        <is>
          <t>🧠 Educational Stories</t>
        </is>
      </c>
      <c r="G760" s="15" t="n">
        <v>80</v>
      </c>
      <c r="H760" s="15" t="inlineStr">
        <is>
          <t>Benny Learns How Bridges Work</t>
        </is>
      </c>
      <c r="I760" s="15" t="inlineStr">
        <is>
          <t>Bobo Learns How Bridges Work 🧠 | Kids Stories | Tiny Sparks</t>
        </is>
      </c>
      <c r="J760" s="15" t="inlineStr">
        <is>
          <t>6–8</t>
        </is>
      </c>
      <c r="K760" s="15" t="inlineStr">
        <is>
          <t>Long 16:9 + Short teaser</t>
        </is>
      </c>
      <c r="L760" s="15" t="inlineStr">
        <is>
          <t>3–5 min (Short: 50 s)</t>
        </is>
      </c>
      <c r="M760" s="15" t="inlineStr">
        <is>
          <t>Bobo (lead) · Mila, Leo, Bobo + narrator</t>
        </is>
      </c>
      <c r="N760" s="15" t="inlineStr">
        <is>
          <t>Life skill: Bridges Work</t>
        </is>
      </c>
      <c r="O760" s="15" t="inlineStr">
        <is>
          <t>Yes</t>
        </is>
      </c>
      <c r="P760" s="15" t="inlineStr">
        <is>
          <t>P3</t>
        </is>
      </c>
      <c r="Q760" s="15" t="inlineStr">
        <is>
          <t>Idea</t>
        </is>
      </c>
      <c r="R760" s="48">
        <f>INDEX('Start Here'!$B$10:$B$16,WEEKDAY(C760,2))</f>
        <v/>
      </c>
      <c r="S760" s="48">
        <f>MOD(R760+'Start Here'!$B$6/24,1)</f>
        <v/>
      </c>
      <c r="T760" s="15" t="n"/>
      <c r="U760" s="15" t="n"/>
      <c r="V760" s="15" t="n"/>
      <c r="W760" s="15" t="n"/>
      <c r="X760" s="20" t="n"/>
      <c r="Y760" s="15" t="n"/>
    </row>
    <row r="761">
      <c r="A761" s="15" t="n">
        <v>760</v>
      </c>
      <c r="B761" s="16">
        <f>INT((A761-1)/7)+1</f>
        <v/>
      </c>
      <c r="C761" s="47">
        <f>'Start Here'!$B$5+A761-1</f>
        <v/>
      </c>
      <c r="D761" s="16">
        <f>TEXT(C761,"ddd")</f>
        <v/>
      </c>
      <c r="E761" s="15" t="inlineStr">
        <is>
          <t>Story Season</t>
        </is>
      </c>
      <c r="F761" s="27" t="inlineStr">
        <is>
          <t>📚 Moral Stories</t>
        </is>
      </c>
      <c r="G761" s="15" t="n">
        <v>80</v>
      </c>
      <c r="H761" s="15" t="inlineStr">
        <is>
          <t>The Little Star's Secret</t>
        </is>
      </c>
      <c r="I761" s="15" t="inlineStr">
        <is>
          <t>The Little Star's Secret 📚 | Moral Stories for Kids | Tiny Sparks</t>
        </is>
      </c>
      <c r="J761" s="15" t="inlineStr">
        <is>
          <t>3–5</t>
        </is>
      </c>
      <c r="K761" s="15" t="inlineStr">
        <is>
          <t>Long 16:9 + Short teaser</t>
        </is>
      </c>
      <c r="L761" s="15" t="inlineStr">
        <is>
          <t>3–5 min (Short: 50 s)</t>
        </is>
      </c>
      <c r="M761" s="15" t="inlineStr">
        <is>
          <t>narrator + guest animals / Mila &amp; Leo</t>
        </is>
      </c>
      <c r="N761" s="15" t="inlineStr">
        <is>
          <t>Value: kindness</t>
        </is>
      </c>
      <c r="O761" s="15" t="inlineStr">
        <is>
          <t>Yes</t>
        </is>
      </c>
      <c r="P761" s="15" t="inlineStr">
        <is>
          <t>P3</t>
        </is>
      </c>
      <c r="Q761" s="15" t="inlineStr">
        <is>
          <t>Idea</t>
        </is>
      </c>
      <c r="R761" s="48">
        <f>INDEX('Start Here'!$B$10:$B$16,WEEKDAY(C761,2))</f>
        <v/>
      </c>
      <c r="S761" s="48">
        <f>MOD(R761+'Start Here'!$B$6/24,1)</f>
        <v/>
      </c>
      <c r="T761" s="15" t="n"/>
      <c r="U761" s="15" t="n"/>
      <c r="V761" s="15" t="n"/>
      <c r="W761" s="15" t="n"/>
      <c r="X761" s="20" t="n"/>
      <c r="Y761" s="15" t="n"/>
    </row>
    <row r="762">
      <c r="A762" s="15" t="n">
        <v>761</v>
      </c>
      <c r="B762" s="16">
        <f>INT((A762-1)/7)+1</f>
        <v/>
      </c>
      <c r="C762" s="47">
        <f>'Start Here'!$B$5+A762-1</f>
        <v/>
      </c>
      <c r="D762" s="16">
        <f>TEXT(C762,"ddd")</f>
        <v/>
      </c>
      <c r="E762" s="15" t="inlineStr">
        <is>
          <t>Story Season</t>
        </is>
      </c>
      <c r="F762" s="18" t="inlineStr">
        <is>
          <t>🧠 Educational Stories</t>
        </is>
      </c>
      <c r="G762" s="15" t="n">
        <v>81</v>
      </c>
      <c r="H762" s="15" t="inlineStr">
        <is>
          <t>The Mystery of the Falling Apples</t>
        </is>
      </c>
      <c r="I762" s="15" t="inlineStr">
        <is>
          <t>The Mystery of the Falling Apples 🧠 | Kids Stories | Tiny Sparks</t>
        </is>
      </c>
      <c r="J762" s="15" t="inlineStr">
        <is>
          <t>3–5</t>
        </is>
      </c>
      <c r="K762" s="15" t="inlineStr">
        <is>
          <t>Long 16:9 + Short teaser</t>
        </is>
      </c>
      <c r="L762" s="15" t="inlineStr">
        <is>
          <t>3–5 min (Short: 50 s)</t>
        </is>
      </c>
      <c r="M762" s="15" t="inlineStr">
        <is>
          <t>Mila, Leo, Bobo + narrator</t>
        </is>
      </c>
      <c r="N762" s="15" t="inlineStr">
        <is>
          <t>Curiosity + problem solving</t>
        </is>
      </c>
      <c r="O762" s="15" t="inlineStr">
        <is>
          <t>Yes</t>
        </is>
      </c>
      <c r="P762" s="15" t="inlineStr">
        <is>
          <t>P3</t>
        </is>
      </c>
      <c r="Q762" s="15" t="inlineStr">
        <is>
          <t>Idea</t>
        </is>
      </c>
      <c r="R762" s="48">
        <f>INDEX('Start Here'!$B$10:$B$16,WEEKDAY(C762,2))</f>
        <v/>
      </c>
      <c r="S762" s="48">
        <f>MOD(R762+'Start Here'!$B$6/24,1)</f>
        <v/>
      </c>
      <c r="T762" s="15" t="n"/>
      <c r="U762" s="15" t="n"/>
      <c r="V762" s="15" t="n"/>
      <c r="W762" s="15" t="n"/>
      <c r="X762" s="20" t="n"/>
      <c r="Y762" s="15" t="n"/>
    </row>
    <row r="763">
      <c r="A763" s="15" t="n">
        <v>762</v>
      </c>
      <c r="B763" s="16">
        <f>INT((A763-1)/7)+1</f>
        <v/>
      </c>
      <c r="C763" s="47">
        <f>'Start Here'!$B$5+A763-1</f>
        <v/>
      </c>
      <c r="D763" s="16">
        <f>TEXT(C763,"ddd")</f>
        <v/>
      </c>
      <c r="E763" s="15" t="inlineStr">
        <is>
          <t>Story Season</t>
        </is>
      </c>
      <c r="F763" s="27" t="inlineStr">
        <is>
          <t>📚 Moral Stories</t>
        </is>
      </c>
      <c r="G763" s="15" t="n">
        <v>81</v>
      </c>
      <c r="H763" s="15" t="inlineStr">
        <is>
          <t>The Greedy King</t>
        </is>
      </c>
      <c r="I763" s="15" t="inlineStr">
        <is>
          <t>The Greedy King 📚 | Moral Stories for Kids | Tiny Sparks</t>
        </is>
      </c>
      <c r="J763" s="15" t="inlineStr">
        <is>
          <t>6–8</t>
        </is>
      </c>
      <c r="K763" s="15" t="inlineStr">
        <is>
          <t>Long 16:9 + Short teaser</t>
        </is>
      </c>
      <c r="L763" s="15" t="inlineStr">
        <is>
          <t>3–5 min (Short: 50 s)</t>
        </is>
      </c>
      <c r="M763" s="15" t="inlineStr">
        <is>
          <t>narrator + guest animals / Mila &amp; Leo</t>
        </is>
      </c>
      <c r="N763" s="15" t="inlineStr">
        <is>
          <t>Value: sharing</t>
        </is>
      </c>
      <c r="O763" s="15" t="inlineStr">
        <is>
          <t>Yes</t>
        </is>
      </c>
      <c r="P763" s="15" t="inlineStr">
        <is>
          <t>P3</t>
        </is>
      </c>
      <c r="Q763" s="15" t="inlineStr">
        <is>
          <t>Idea</t>
        </is>
      </c>
      <c r="R763" s="48">
        <f>INDEX('Start Here'!$B$10:$B$16,WEEKDAY(C763,2))</f>
        <v/>
      </c>
      <c r="S763" s="48">
        <f>MOD(R763+'Start Here'!$B$6/24,1)</f>
        <v/>
      </c>
      <c r="T763" s="15" t="n"/>
      <c r="U763" s="15" t="n"/>
      <c r="V763" s="15" t="n"/>
      <c r="W763" s="15" t="n"/>
      <c r="X763" s="20" t="n"/>
      <c r="Y763" s="15" t="n"/>
    </row>
    <row r="764">
      <c r="A764" s="15" t="n">
        <v>763</v>
      </c>
      <c r="B764" s="16">
        <f>INT((A764-1)/7)+1</f>
        <v/>
      </c>
      <c r="C764" s="47">
        <f>'Start Here'!$B$5+A764-1</f>
        <v/>
      </c>
      <c r="D764" s="16">
        <f>TEXT(C764,"ddd")</f>
        <v/>
      </c>
      <c r="E764" s="15" t="inlineStr">
        <is>
          <t>Story Season</t>
        </is>
      </c>
      <c r="F764" s="18" t="inlineStr">
        <is>
          <t>🧠 Educational Stories</t>
        </is>
      </c>
      <c r="G764" s="15" t="n">
        <v>82</v>
      </c>
      <c r="H764" s="15" t="inlineStr">
        <is>
          <t>Emma Discovers Magnets</t>
        </is>
      </c>
      <c r="I764" s="15" t="inlineStr">
        <is>
          <t>Mila Discovers Magnets 🧠 | Kids Stories | Tiny Sparks</t>
        </is>
      </c>
      <c r="J764" s="15" t="inlineStr">
        <is>
          <t>6–8</t>
        </is>
      </c>
      <c r="K764" s="15" t="inlineStr">
        <is>
          <t>Long 16:9 + Short teaser</t>
        </is>
      </c>
      <c r="L764" s="15" t="inlineStr">
        <is>
          <t>3–5 min (Short: 50 s)</t>
        </is>
      </c>
      <c r="M764" s="15" t="inlineStr">
        <is>
          <t>Mila (lead) · Mila, Leo, Bobo + narrator</t>
        </is>
      </c>
      <c r="N764" s="15" t="inlineStr">
        <is>
          <t>Life skill: Magnets</t>
        </is>
      </c>
      <c r="O764" s="15" t="inlineStr">
        <is>
          <t>Yes</t>
        </is>
      </c>
      <c r="P764" s="15" t="inlineStr">
        <is>
          <t>P3</t>
        </is>
      </c>
      <c r="Q764" s="15" t="inlineStr">
        <is>
          <t>Idea</t>
        </is>
      </c>
      <c r="R764" s="48">
        <f>INDEX('Start Here'!$B$10:$B$16,WEEKDAY(C764,2))</f>
        <v/>
      </c>
      <c r="S764" s="48">
        <f>MOD(R764+'Start Here'!$B$6/24,1)</f>
        <v/>
      </c>
      <c r="T764" s="15" t="n"/>
      <c r="U764" s="15" t="n"/>
      <c r="V764" s="15" t="n"/>
      <c r="W764" s="15" t="n"/>
      <c r="X764" s="20" t="n"/>
      <c r="Y764" s="15" t="n"/>
    </row>
    <row r="765">
      <c r="A765" s="15" t="n">
        <v>764</v>
      </c>
      <c r="B765" s="16">
        <f>INT((A765-1)/7)+1</f>
        <v/>
      </c>
      <c r="C765" s="47">
        <f>'Start Here'!$B$5+A765-1</f>
        <v/>
      </c>
      <c r="D765" s="16">
        <f>TEXT(C765,"ddd")</f>
        <v/>
      </c>
      <c r="E765" s="15" t="inlineStr">
        <is>
          <t>Story Season</t>
        </is>
      </c>
      <c r="F765" s="27" t="inlineStr">
        <is>
          <t>📚 Moral Stories</t>
        </is>
      </c>
      <c r="G765" s="15" t="n">
        <v>82</v>
      </c>
      <c r="H765" s="15" t="inlineStr">
        <is>
          <t>The Kind Princess</t>
        </is>
      </c>
      <c r="I765" s="15" t="inlineStr">
        <is>
          <t>The Kind Princess 📚 | Moral Stories for Kids | Tiny Sparks</t>
        </is>
      </c>
      <c r="J765" s="15" t="inlineStr">
        <is>
          <t>6–8</t>
        </is>
      </c>
      <c r="K765" s="15" t="inlineStr">
        <is>
          <t>Long 16:9 + Short teaser</t>
        </is>
      </c>
      <c r="L765" s="15" t="inlineStr">
        <is>
          <t>3–5 min (Short: 50 s)</t>
        </is>
      </c>
      <c r="M765" s="15" t="inlineStr">
        <is>
          <t>narrator + guest animals / Mila &amp; Leo</t>
        </is>
      </c>
      <c r="N765" s="15" t="inlineStr">
        <is>
          <t>Value: kindness</t>
        </is>
      </c>
      <c r="O765" s="15" t="inlineStr">
        <is>
          <t>Yes</t>
        </is>
      </c>
      <c r="P765" s="15" t="inlineStr">
        <is>
          <t>P3</t>
        </is>
      </c>
      <c r="Q765" s="15" t="inlineStr">
        <is>
          <t>Idea</t>
        </is>
      </c>
      <c r="R765" s="48">
        <f>INDEX('Start Here'!$B$10:$B$16,WEEKDAY(C765,2))</f>
        <v/>
      </c>
      <c r="S765" s="48">
        <f>MOD(R765+'Start Here'!$B$6/24,1)</f>
        <v/>
      </c>
      <c r="T765" s="15" t="n"/>
      <c r="U765" s="15" t="n"/>
      <c r="V765" s="15" t="n"/>
      <c r="W765" s="15" t="n"/>
      <c r="X765" s="20" t="n"/>
      <c r="Y765" s="15" t="n"/>
    </row>
    <row r="766">
      <c r="A766" s="15" t="n">
        <v>765</v>
      </c>
      <c r="B766" s="16">
        <f>INT((A766-1)/7)+1</f>
        <v/>
      </c>
      <c r="C766" s="47">
        <f>'Start Here'!$B$5+A766-1</f>
        <v/>
      </c>
      <c r="D766" s="16">
        <f>TEXT(C766,"ddd")</f>
        <v/>
      </c>
      <c r="E766" s="15" t="inlineStr">
        <is>
          <t>Story Season</t>
        </is>
      </c>
      <c r="F766" s="18" t="inlineStr">
        <is>
          <t>🧠 Educational Stories</t>
        </is>
      </c>
      <c r="G766" s="15" t="n">
        <v>83</v>
      </c>
      <c r="H766" s="15" t="inlineStr">
        <is>
          <t>Max Learns About Light and Shadows</t>
        </is>
      </c>
      <c r="I766" s="15" t="inlineStr">
        <is>
          <t>Leo Learns About Light and Shadows 🧠 | Kids Stories | Tiny Sparks</t>
        </is>
      </c>
      <c r="J766" s="15" t="inlineStr">
        <is>
          <t>3–5</t>
        </is>
      </c>
      <c r="K766" s="15" t="inlineStr">
        <is>
          <t>Long 16:9 + Short teaser</t>
        </is>
      </c>
      <c r="L766" s="15" t="inlineStr">
        <is>
          <t>3–5 min (Short: 50 s)</t>
        </is>
      </c>
      <c r="M766" s="15" t="inlineStr">
        <is>
          <t>Leo (lead) · Mila, Leo, Bobo + narrator</t>
        </is>
      </c>
      <c r="N766" s="15" t="inlineStr">
        <is>
          <t>Life skill: Light and Shadows</t>
        </is>
      </c>
      <c r="O766" s="15" t="inlineStr">
        <is>
          <t>Yes</t>
        </is>
      </c>
      <c r="P766" s="15" t="inlineStr">
        <is>
          <t>P3</t>
        </is>
      </c>
      <c r="Q766" s="15" t="inlineStr">
        <is>
          <t>Idea</t>
        </is>
      </c>
      <c r="R766" s="48">
        <f>INDEX('Start Here'!$B$10:$B$16,WEEKDAY(C766,2))</f>
        <v/>
      </c>
      <c r="S766" s="48">
        <f>MOD(R766+'Start Here'!$B$6/24,1)</f>
        <v/>
      </c>
      <c r="T766" s="15" t="n"/>
      <c r="U766" s="15" t="n"/>
      <c r="V766" s="15" t="n"/>
      <c r="W766" s="15" t="n"/>
      <c r="X766" s="20" t="n"/>
      <c r="Y766" s="15" t="n"/>
    </row>
    <row r="767">
      <c r="A767" s="15" t="n">
        <v>766</v>
      </c>
      <c r="B767" s="16">
        <f>INT((A767-1)/7)+1</f>
        <v/>
      </c>
      <c r="C767" s="47">
        <f>'Start Here'!$B$5+A767-1</f>
        <v/>
      </c>
      <c r="D767" s="16">
        <f>TEXT(C767,"ddd")</f>
        <v/>
      </c>
      <c r="E767" s="15" t="inlineStr">
        <is>
          <t>Story Season</t>
        </is>
      </c>
      <c r="F767" s="27" t="inlineStr">
        <is>
          <t>📚 Moral Stories</t>
        </is>
      </c>
      <c r="G767" s="15" t="n">
        <v>83</v>
      </c>
      <c r="H767" s="15" t="inlineStr">
        <is>
          <t>The Honest Knight</t>
        </is>
      </c>
      <c r="I767" s="15" t="inlineStr">
        <is>
          <t>The Honest Knight 📚 | Moral Stories for Kids | Tiny Sparks</t>
        </is>
      </c>
      <c r="J767" s="15" t="inlineStr">
        <is>
          <t>6–8</t>
        </is>
      </c>
      <c r="K767" s="15" t="inlineStr">
        <is>
          <t>Long 16:9 + Short teaser</t>
        </is>
      </c>
      <c r="L767" s="15" t="inlineStr">
        <is>
          <t>3–5 min (Short: 50 s)</t>
        </is>
      </c>
      <c r="M767" s="15" t="inlineStr">
        <is>
          <t>narrator + guest animals / Mila &amp; Leo</t>
        </is>
      </c>
      <c r="N767" s="15" t="inlineStr">
        <is>
          <t>Value: honesty</t>
        </is>
      </c>
      <c r="O767" s="15" t="inlineStr">
        <is>
          <t>Yes</t>
        </is>
      </c>
      <c r="P767" s="15" t="inlineStr">
        <is>
          <t>P3</t>
        </is>
      </c>
      <c r="Q767" s="15" t="inlineStr">
        <is>
          <t>Idea</t>
        </is>
      </c>
      <c r="R767" s="48">
        <f>INDEX('Start Here'!$B$10:$B$16,WEEKDAY(C767,2))</f>
        <v/>
      </c>
      <c r="S767" s="48">
        <f>MOD(R767+'Start Here'!$B$6/24,1)</f>
        <v/>
      </c>
      <c r="T767" s="15" t="n"/>
      <c r="U767" s="15" t="n"/>
      <c r="V767" s="15" t="n"/>
      <c r="W767" s="15" t="n"/>
      <c r="X767" s="20" t="n"/>
      <c r="Y767" s="15" t="n"/>
    </row>
    <row r="768">
      <c r="A768" s="15" t="n">
        <v>767</v>
      </c>
      <c r="B768" s="16">
        <f>INT((A768-1)/7)+1</f>
        <v/>
      </c>
      <c r="C768" s="47">
        <f>'Start Here'!$B$5+A768-1</f>
        <v/>
      </c>
      <c r="D768" s="16">
        <f>TEXT(C768,"ddd")</f>
        <v/>
      </c>
      <c r="E768" s="15" t="inlineStr">
        <is>
          <t>Story Season</t>
        </is>
      </c>
      <c r="F768" s="18" t="inlineStr">
        <is>
          <t>🧠 Educational Stories</t>
        </is>
      </c>
      <c r="G768" s="15" t="n">
        <v>84</v>
      </c>
      <c r="H768" s="15" t="inlineStr">
        <is>
          <t>The Secret Life of a Seed</t>
        </is>
      </c>
      <c r="I768" s="15" t="inlineStr">
        <is>
          <t>The Secret Life of a Seed 🧠 | Kids Stories | Tiny Sparks</t>
        </is>
      </c>
      <c r="J768" s="15" t="inlineStr">
        <is>
          <t>3–5</t>
        </is>
      </c>
      <c r="K768" s="15" t="inlineStr">
        <is>
          <t>Long 16:9 + Short teaser</t>
        </is>
      </c>
      <c r="L768" s="15" t="inlineStr">
        <is>
          <t>3–5 min (Short: 50 s)</t>
        </is>
      </c>
      <c r="M768" s="15" t="inlineStr">
        <is>
          <t>Mila, Leo, Bobo + narrator</t>
        </is>
      </c>
      <c r="N768" s="15" t="inlineStr">
        <is>
          <t>Life skill: caring for the planet</t>
        </is>
      </c>
      <c r="O768" s="15" t="inlineStr">
        <is>
          <t>Yes</t>
        </is>
      </c>
      <c r="P768" s="15" t="inlineStr">
        <is>
          <t>P3</t>
        </is>
      </c>
      <c r="Q768" s="15" t="inlineStr">
        <is>
          <t>Idea</t>
        </is>
      </c>
      <c r="R768" s="48">
        <f>INDEX('Start Here'!$B$10:$B$16,WEEKDAY(C768,2))</f>
        <v/>
      </c>
      <c r="S768" s="48">
        <f>MOD(R768+'Start Here'!$B$6/24,1)</f>
        <v/>
      </c>
      <c r="T768" s="15" t="n"/>
      <c r="U768" s="15" t="n"/>
      <c r="V768" s="15" t="n"/>
      <c r="W768" s="15" t="n"/>
      <c r="X768" s="20" t="n"/>
      <c r="Y768" s="15" t="n"/>
    </row>
    <row r="769">
      <c r="A769" s="15" t="n">
        <v>768</v>
      </c>
      <c r="B769" s="16">
        <f>INT((A769-1)/7)+1</f>
        <v/>
      </c>
      <c r="C769" s="47">
        <f>'Start Here'!$B$5+A769-1</f>
        <v/>
      </c>
      <c r="D769" s="16">
        <f>TEXT(C769,"ddd")</f>
        <v/>
      </c>
      <c r="E769" s="15" t="inlineStr">
        <is>
          <t>Story Season</t>
        </is>
      </c>
      <c r="F769" s="27" t="inlineStr">
        <is>
          <t>📚 Moral Stories</t>
        </is>
      </c>
      <c r="G769" s="15" t="n">
        <v>84</v>
      </c>
      <c r="H769" s="15" t="inlineStr">
        <is>
          <t>The Lazy Prince</t>
        </is>
      </c>
      <c r="I769" s="15" t="inlineStr">
        <is>
          <t>The Lazy Prince 📚 | Moral Stories for Kids | Tiny Sparks</t>
        </is>
      </c>
      <c r="J769" s="15" t="inlineStr">
        <is>
          <t>6–8</t>
        </is>
      </c>
      <c r="K769" s="15" t="inlineStr">
        <is>
          <t>Long 16:9 + Short teaser</t>
        </is>
      </c>
      <c r="L769" s="15" t="inlineStr">
        <is>
          <t>3–5 min (Short: 50 s)</t>
        </is>
      </c>
      <c r="M769" s="15" t="inlineStr">
        <is>
          <t>narrator + guest animals / Mila &amp; Leo</t>
        </is>
      </c>
      <c r="N769" s="15" t="inlineStr">
        <is>
          <t>Value: hard work</t>
        </is>
      </c>
      <c r="O769" s="15" t="inlineStr">
        <is>
          <t>Yes</t>
        </is>
      </c>
      <c r="P769" s="15" t="inlineStr">
        <is>
          <t>P3</t>
        </is>
      </c>
      <c r="Q769" s="15" t="inlineStr">
        <is>
          <t>Idea</t>
        </is>
      </c>
      <c r="R769" s="48">
        <f>INDEX('Start Here'!$B$10:$B$16,WEEKDAY(C769,2))</f>
        <v/>
      </c>
      <c r="S769" s="48">
        <f>MOD(R769+'Start Here'!$B$6/24,1)</f>
        <v/>
      </c>
      <c r="T769" s="15" t="n"/>
      <c r="U769" s="15" t="n"/>
      <c r="V769" s="15" t="n"/>
      <c r="W769" s="15" t="n"/>
      <c r="X769" s="20" t="n"/>
      <c r="Y769" s="15" t="n"/>
    </row>
    <row r="770">
      <c r="A770" s="15" t="n">
        <v>769</v>
      </c>
      <c r="B770" s="16">
        <f>INT((A770-1)/7)+1</f>
        <v/>
      </c>
      <c r="C770" s="47">
        <f>'Start Here'!$B$5+A770-1</f>
        <v/>
      </c>
      <c r="D770" s="16">
        <f>TEXT(C770,"ddd")</f>
        <v/>
      </c>
      <c r="E770" s="15" t="inlineStr">
        <is>
          <t>Story Season</t>
        </is>
      </c>
      <c r="F770" s="18" t="inlineStr">
        <is>
          <t>🧠 Educational Stories</t>
        </is>
      </c>
      <c r="G770" s="15" t="n">
        <v>85</v>
      </c>
      <c r="H770" s="15" t="inlineStr">
        <is>
          <t>Lily's Journey Through the Human Body</t>
        </is>
      </c>
      <c r="I770" s="15" t="inlineStr">
        <is>
          <t>Mila's Journey Through the Human Body 🧠 | Kids Stories | Tiny Sparks</t>
        </is>
      </c>
      <c r="J770" s="15" t="inlineStr">
        <is>
          <t>6–8</t>
        </is>
      </c>
      <c r="K770" s="15" t="inlineStr">
        <is>
          <t>Long 16:9 + Short teaser</t>
        </is>
      </c>
      <c r="L770" s="15" t="inlineStr">
        <is>
          <t>3–5 min (Short: 50 s)</t>
        </is>
      </c>
      <c r="M770" s="15" t="inlineStr">
        <is>
          <t>Mila (lead) · Mila, Leo, Bobo + narrator</t>
        </is>
      </c>
      <c r="N770" s="15" t="inlineStr">
        <is>
          <t>Curiosity + problem solving</t>
        </is>
      </c>
      <c r="O770" s="15" t="inlineStr">
        <is>
          <t>Yes</t>
        </is>
      </c>
      <c r="P770" s="15" t="inlineStr">
        <is>
          <t>P3</t>
        </is>
      </c>
      <c r="Q770" s="15" t="inlineStr">
        <is>
          <t>Idea</t>
        </is>
      </c>
      <c r="R770" s="48">
        <f>INDEX('Start Here'!$B$10:$B$16,WEEKDAY(C770,2))</f>
        <v/>
      </c>
      <c r="S770" s="48">
        <f>MOD(R770+'Start Here'!$B$6/24,1)</f>
        <v/>
      </c>
      <c r="T770" s="15" t="n"/>
      <c r="U770" s="15" t="n"/>
      <c r="V770" s="15" t="n"/>
      <c r="W770" s="15" t="n"/>
      <c r="X770" s="20" t="n"/>
      <c r="Y770" s="15" t="n"/>
    </row>
    <row r="771">
      <c r="A771" s="15" t="n">
        <v>770</v>
      </c>
      <c r="B771" s="16">
        <f>INT((A771-1)/7)+1</f>
        <v/>
      </c>
      <c r="C771" s="47">
        <f>'Start Here'!$B$5+A771-1</f>
        <v/>
      </c>
      <c r="D771" s="16">
        <f>TEXT(C771,"ddd")</f>
        <v/>
      </c>
      <c r="E771" s="15" t="inlineStr">
        <is>
          <t>Story Season</t>
        </is>
      </c>
      <c r="F771" s="27" t="inlineStr">
        <is>
          <t>📚 Moral Stories</t>
        </is>
      </c>
      <c r="G771" s="15" t="n">
        <v>85</v>
      </c>
      <c r="H771" s="15" t="inlineStr">
        <is>
          <t>The Wise Old Farmer</t>
        </is>
      </c>
      <c r="I771" s="15" t="inlineStr">
        <is>
          <t>The Wise Old Farmer 📚 | Moral Stories for Kids | Tiny Sparks</t>
        </is>
      </c>
      <c r="J771" s="15" t="inlineStr">
        <is>
          <t>3–5</t>
        </is>
      </c>
      <c r="K771" s="15" t="inlineStr">
        <is>
          <t>Long 16:9 + Short teaser</t>
        </is>
      </c>
      <c r="L771" s="15" t="inlineStr">
        <is>
          <t>3–5 min (Short: 50 s)</t>
        </is>
      </c>
      <c r="M771" s="15" t="inlineStr">
        <is>
          <t>narrator + guest animals / Mila &amp; Leo</t>
        </is>
      </c>
      <c r="N771" s="15" t="inlineStr">
        <is>
          <t>Value: kindness</t>
        </is>
      </c>
      <c r="O771" s="15" t="inlineStr">
        <is>
          <t>Yes</t>
        </is>
      </c>
      <c r="P771" s="15" t="inlineStr">
        <is>
          <t>P3</t>
        </is>
      </c>
      <c r="Q771" s="15" t="inlineStr">
        <is>
          <t>Idea</t>
        </is>
      </c>
      <c r="R771" s="48">
        <f>INDEX('Start Here'!$B$10:$B$16,WEEKDAY(C771,2))</f>
        <v/>
      </c>
      <c r="S771" s="48">
        <f>MOD(R771+'Start Here'!$B$6/24,1)</f>
        <v/>
      </c>
      <c r="T771" s="15" t="n"/>
      <c r="U771" s="15" t="n"/>
      <c r="V771" s="15" t="n"/>
      <c r="W771" s="15" t="n"/>
      <c r="X771" s="20" t="n"/>
      <c r="Y771" s="15" t="n"/>
    </row>
    <row r="772">
      <c r="A772" s="15" t="n">
        <v>771</v>
      </c>
      <c r="B772" s="16">
        <f>INT((A772-1)/7)+1</f>
        <v/>
      </c>
      <c r="C772" s="47">
        <f>'Start Here'!$B$5+A772-1</f>
        <v/>
      </c>
      <c r="D772" s="16">
        <f>TEXT(C772,"ddd")</f>
        <v/>
      </c>
      <c r="E772" s="15" t="inlineStr">
        <is>
          <t>Story Season</t>
        </is>
      </c>
      <c r="F772" s="18" t="inlineStr">
        <is>
          <t>🧠 Educational Stories</t>
        </is>
      </c>
      <c r="G772" s="15" t="n">
        <v>86</v>
      </c>
      <c r="H772" s="15" t="inlineStr">
        <is>
          <t>Tommy Discovers How Food Gives Us Energy</t>
        </is>
      </c>
      <c r="I772" s="15" t="inlineStr">
        <is>
          <t>Leo Discovers How Food Gives Us Energy 🧠 | Kids Stories | Tiny Sparks</t>
        </is>
      </c>
      <c r="J772" s="15" t="inlineStr">
        <is>
          <t>3–5</t>
        </is>
      </c>
      <c r="K772" s="15" t="inlineStr">
        <is>
          <t>Long 16:9 + Short teaser</t>
        </is>
      </c>
      <c r="L772" s="15" t="inlineStr">
        <is>
          <t>3–5 min (Short: 50 s)</t>
        </is>
      </c>
      <c r="M772" s="15" t="inlineStr">
        <is>
          <t>Leo (lead) · Mila, Leo, Bobo + narrator</t>
        </is>
      </c>
      <c r="N772" s="15" t="inlineStr">
        <is>
          <t>Life skill: Food Gives Us Energy</t>
        </is>
      </c>
      <c r="O772" s="15" t="inlineStr">
        <is>
          <t>Yes</t>
        </is>
      </c>
      <c r="P772" s="15" t="inlineStr">
        <is>
          <t>P3</t>
        </is>
      </c>
      <c r="Q772" s="15" t="inlineStr">
        <is>
          <t>Idea</t>
        </is>
      </c>
      <c r="R772" s="48">
        <f>INDEX('Start Here'!$B$10:$B$16,WEEKDAY(C772,2))</f>
        <v/>
      </c>
      <c r="S772" s="48">
        <f>MOD(R772+'Start Here'!$B$6/24,1)</f>
        <v/>
      </c>
      <c r="T772" s="15" t="n"/>
      <c r="U772" s="15" t="n"/>
      <c r="V772" s="15" t="n"/>
      <c r="W772" s="15" t="n"/>
      <c r="X772" s="20" t="n"/>
      <c r="Y772" s="15" t="n"/>
    </row>
    <row r="773">
      <c r="A773" s="15" t="n">
        <v>772</v>
      </c>
      <c r="B773" s="16">
        <f>INT((A773-1)/7)+1</f>
        <v/>
      </c>
      <c r="C773" s="47">
        <f>'Start Here'!$B$5+A773-1</f>
        <v/>
      </c>
      <c r="D773" s="16">
        <f>TEXT(C773,"ddd")</f>
        <v/>
      </c>
      <c r="E773" s="15" t="inlineStr">
        <is>
          <t>Story Season</t>
        </is>
      </c>
      <c r="F773" s="27" t="inlineStr">
        <is>
          <t>📚 Moral Stories</t>
        </is>
      </c>
      <c r="G773" s="15" t="n">
        <v>86</v>
      </c>
      <c r="H773" s="15" t="inlineStr">
        <is>
          <t>The Clever Little Girl</t>
        </is>
      </c>
      <c r="I773" s="15" t="inlineStr">
        <is>
          <t>The Clever Little Girl 📚 | Moral Stories for Kids | Tiny Sparks</t>
        </is>
      </c>
      <c r="J773" s="15" t="inlineStr">
        <is>
          <t>3–5</t>
        </is>
      </c>
      <c r="K773" s="15" t="inlineStr">
        <is>
          <t>Long 16:9 + Short teaser</t>
        </is>
      </c>
      <c r="L773" s="15" t="inlineStr">
        <is>
          <t>3–5 min (Short: 50 s)</t>
        </is>
      </c>
      <c r="M773" s="15" t="inlineStr">
        <is>
          <t>narrator + guest animals / Mila &amp; Leo</t>
        </is>
      </c>
      <c r="N773" s="15" t="inlineStr">
        <is>
          <t>Value: thinking smart</t>
        </is>
      </c>
      <c r="O773" s="15" t="inlineStr">
        <is>
          <t>Yes</t>
        </is>
      </c>
      <c r="P773" s="15" t="inlineStr">
        <is>
          <t>P3</t>
        </is>
      </c>
      <c r="Q773" s="15" t="inlineStr">
        <is>
          <t>Idea</t>
        </is>
      </c>
      <c r="R773" s="48">
        <f>INDEX('Start Here'!$B$10:$B$16,WEEKDAY(C773,2))</f>
        <v/>
      </c>
      <c r="S773" s="48">
        <f>MOD(R773+'Start Here'!$B$6/24,1)</f>
        <v/>
      </c>
      <c r="T773" s="15" t="n"/>
      <c r="U773" s="15" t="n"/>
      <c r="V773" s="15" t="n"/>
      <c r="W773" s="15" t="n"/>
      <c r="X773" s="20" t="n"/>
      <c r="Y773" s="15" t="n"/>
    </row>
    <row r="774">
      <c r="A774" s="15" t="n">
        <v>773</v>
      </c>
      <c r="B774" s="16">
        <f>INT((A774-1)/7)+1</f>
        <v/>
      </c>
      <c r="C774" s="47">
        <f>'Start Here'!$B$5+A774-1</f>
        <v/>
      </c>
      <c r="D774" s="16">
        <f>TEXT(C774,"ddd")</f>
        <v/>
      </c>
      <c r="E774" s="15" t="inlineStr">
        <is>
          <t>Story Season</t>
        </is>
      </c>
      <c r="F774" s="18" t="inlineStr">
        <is>
          <t>🧠 Educational Stories</t>
        </is>
      </c>
      <c r="G774" s="15" t="n">
        <v>87</v>
      </c>
      <c r="H774" s="15" t="inlineStr">
        <is>
          <t>The Little Weather Reporter</t>
        </is>
      </c>
      <c r="I774" s="15" t="inlineStr">
        <is>
          <t>The Little Weather Reporter 🧠 | Kids Stories | Tiny Sparks</t>
        </is>
      </c>
      <c r="J774" s="15" t="inlineStr">
        <is>
          <t>3–5</t>
        </is>
      </c>
      <c r="K774" s="15" t="inlineStr">
        <is>
          <t>Long 16:9 + Short teaser</t>
        </is>
      </c>
      <c r="L774" s="15" t="inlineStr">
        <is>
          <t>3–5 min (Short: 50 s)</t>
        </is>
      </c>
      <c r="M774" s="15" t="inlineStr">
        <is>
          <t>Mila, Leo, Bobo + narrator</t>
        </is>
      </c>
      <c r="N774" s="15" t="inlineStr">
        <is>
          <t>Curiosity + problem solving</t>
        </is>
      </c>
      <c r="O774" s="15" t="inlineStr">
        <is>
          <t>Yes</t>
        </is>
      </c>
      <c r="P774" s="15" t="inlineStr">
        <is>
          <t>P3</t>
        </is>
      </c>
      <c r="Q774" s="15" t="inlineStr">
        <is>
          <t>Idea</t>
        </is>
      </c>
      <c r="R774" s="48">
        <f>INDEX('Start Here'!$B$10:$B$16,WEEKDAY(C774,2))</f>
        <v/>
      </c>
      <c r="S774" s="48">
        <f>MOD(R774+'Start Here'!$B$6/24,1)</f>
        <v/>
      </c>
      <c r="T774" s="15" t="n"/>
      <c r="U774" s="15" t="n"/>
      <c r="V774" s="15" t="n"/>
      <c r="W774" s="15" t="n"/>
      <c r="X774" s="20" t="n"/>
      <c r="Y774" s="15" t="n"/>
    </row>
    <row r="775">
      <c r="A775" s="15" t="n">
        <v>774</v>
      </c>
      <c r="B775" s="16">
        <f>INT((A775-1)/7)+1</f>
        <v/>
      </c>
      <c r="C775" s="47">
        <f>'Start Here'!$B$5+A775-1</f>
        <v/>
      </c>
      <c r="D775" s="16">
        <f>TEXT(C775,"ddd")</f>
        <v/>
      </c>
      <c r="E775" s="15" t="inlineStr">
        <is>
          <t>Story Season</t>
        </is>
      </c>
      <c r="F775" s="27" t="inlineStr">
        <is>
          <t>📚 Moral Stories</t>
        </is>
      </c>
      <c r="G775" s="15" t="n">
        <v>87</v>
      </c>
      <c r="H775" s="15" t="inlineStr">
        <is>
          <t>The Poor Boy with a Big Heart</t>
        </is>
      </c>
      <c r="I775" s="15" t="inlineStr">
        <is>
          <t>The Poor Boy with a Big Heart 📚 | Moral Stories for Kids | Tiny Sparks</t>
        </is>
      </c>
      <c r="J775" s="15" t="inlineStr">
        <is>
          <t>6–8</t>
        </is>
      </c>
      <c r="K775" s="15" t="inlineStr">
        <is>
          <t>Long 16:9 + Short teaser</t>
        </is>
      </c>
      <c r="L775" s="15" t="inlineStr">
        <is>
          <t>3–5 min (Short: 50 s)</t>
        </is>
      </c>
      <c r="M775" s="15" t="inlineStr">
        <is>
          <t>narrator + guest animals / Mila &amp; Leo</t>
        </is>
      </c>
      <c r="N775" s="15" t="inlineStr">
        <is>
          <t>Value: kindness</t>
        </is>
      </c>
      <c r="O775" s="15" t="inlineStr">
        <is>
          <t>Yes</t>
        </is>
      </c>
      <c r="P775" s="15" t="inlineStr">
        <is>
          <t>P3</t>
        </is>
      </c>
      <c r="Q775" s="15" t="inlineStr">
        <is>
          <t>Idea</t>
        </is>
      </c>
      <c r="R775" s="48">
        <f>INDEX('Start Here'!$B$10:$B$16,WEEKDAY(C775,2))</f>
        <v/>
      </c>
      <c r="S775" s="48">
        <f>MOD(R775+'Start Here'!$B$6/24,1)</f>
        <v/>
      </c>
      <c r="T775" s="15" t="n"/>
      <c r="U775" s="15" t="n"/>
      <c r="V775" s="15" t="n"/>
      <c r="W775" s="15" t="n"/>
      <c r="X775" s="20" t="n"/>
      <c r="Y775" s="15" t="n"/>
    </row>
    <row r="776">
      <c r="A776" s="15" t="n">
        <v>775</v>
      </c>
      <c r="B776" s="16">
        <f>INT((A776-1)/7)+1</f>
        <v/>
      </c>
      <c r="C776" s="47">
        <f>'Start Here'!$B$5+A776-1</f>
        <v/>
      </c>
      <c r="D776" s="16">
        <f>TEXT(C776,"ddd")</f>
        <v/>
      </c>
      <c r="E776" s="15" t="inlineStr">
        <is>
          <t>Story Season</t>
        </is>
      </c>
      <c r="F776" s="18" t="inlineStr">
        <is>
          <t>🧠 Educational Stories</t>
        </is>
      </c>
      <c r="G776" s="15" t="n">
        <v>88</v>
      </c>
      <c r="H776" s="15" t="inlineStr">
        <is>
          <t>Mia's Journey Through Space</t>
        </is>
      </c>
      <c r="I776" s="15" t="inlineStr">
        <is>
          <t>Mila's Journey Through Space 🧠 | Kids Stories | Tiny Sparks</t>
        </is>
      </c>
      <c r="J776" s="15" t="inlineStr">
        <is>
          <t>6–8</t>
        </is>
      </c>
      <c r="K776" s="15" t="inlineStr">
        <is>
          <t>Long 16:9 + Short teaser</t>
        </is>
      </c>
      <c r="L776" s="15" t="inlineStr">
        <is>
          <t>3–5 min (Short: 50 s)</t>
        </is>
      </c>
      <c r="M776" s="15" t="inlineStr">
        <is>
          <t>Mila (lead) · Mila, Leo, Bobo + narrator</t>
        </is>
      </c>
      <c r="N776" s="15" t="inlineStr">
        <is>
          <t>Curiosity + problem solving</t>
        </is>
      </c>
      <c r="O776" s="15" t="inlineStr">
        <is>
          <t>Yes</t>
        </is>
      </c>
      <c r="P776" s="15" t="inlineStr">
        <is>
          <t>P3</t>
        </is>
      </c>
      <c r="Q776" s="15" t="inlineStr">
        <is>
          <t>Idea</t>
        </is>
      </c>
      <c r="R776" s="48">
        <f>INDEX('Start Here'!$B$10:$B$16,WEEKDAY(C776,2))</f>
        <v/>
      </c>
      <c r="S776" s="48">
        <f>MOD(R776+'Start Here'!$B$6/24,1)</f>
        <v/>
      </c>
      <c r="T776" s="15" t="n"/>
      <c r="U776" s="15" t="n"/>
      <c r="V776" s="15" t="n"/>
      <c r="W776" s="15" t="n"/>
      <c r="X776" s="20" t="n"/>
      <c r="Y776" s="15" t="n"/>
    </row>
    <row r="777">
      <c r="A777" s="15" t="n">
        <v>776</v>
      </c>
      <c r="B777" s="16">
        <f>INT((A777-1)/7)+1</f>
        <v/>
      </c>
      <c r="C777" s="47">
        <f>'Start Here'!$B$5+A777-1</f>
        <v/>
      </c>
      <c r="D777" s="16">
        <f>TEXT(C777,"ddd")</f>
        <v/>
      </c>
      <c r="E777" s="15" t="inlineStr">
        <is>
          <t>Story Season</t>
        </is>
      </c>
      <c r="F777" s="27" t="inlineStr">
        <is>
          <t>📚 Moral Stories</t>
        </is>
      </c>
      <c r="G777" s="15" t="n">
        <v>88</v>
      </c>
      <c r="H777" s="15" t="inlineStr">
        <is>
          <t>The Two Kings and the Tree</t>
        </is>
      </c>
      <c r="I777" s="15" t="inlineStr">
        <is>
          <t>The Two Kings and the Tree 📚 | Moral Stories for Kids | Tiny Sparks</t>
        </is>
      </c>
      <c r="J777" s="15" t="inlineStr">
        <is>
          <t>6–8</t>
        </is>
      </c>
      <c r="K777" s="15" t="inlineStr">
        <is>
          <t>Long 16:9 + Short teaser</t>
        </is>
      </c>
      <c r="L777" s="15" t="inlineStr">
        <is>
          <t>3–5 min (Short: 50 s)</t>
        </is>
      </c>
      <c r="M777" s="15" t="inlineStr">
        <is>
          <t>narrator + guest animals / Mila &amp; Leo</t>
        </is>
      </c>
      <c r="N777" s="15" t="inlineStr">
        <is>
          <t>Value: caring for the planet</t>
        </is>
      </c>
      <c r="O777" s="15" t="inlineStr">
        <is>
          <t>Yes</t>
        </is>
      </c>
      <c r="P777" s="15" t="inlineStr">
        <is>
          <t>P3</t>
        </is>
      </c>
      <c r="Q777" s="15" t="inlineStr">
        <is>
          <t>Idea</t>
        </is>
      </c>
      <c r="R777" s="48">
        <f>INDEX('Start Here'!$B$10:$B$16,WEEKDAY(C777,2))</f>
        <v/>
      </c>
      <c r="S777" s="48">
        <f>MOD(R777+'Start Here'!$B$6/24,1)</f>
        <v/>
      </c>
      <c r="T777" s="15" t="n"/>
      <c r="U777" s="15" t="n"/>
      <c r="V777" s="15" t="n"/>
      <c r="W777" s="15" t="n"/>
      <c r="X777" s="20" t="n"/>
      <c r="Y777" s="15" t="n"/>
    </row>
    <row r="778">
      <c r="A778" s="15" t="n">
        <v>777</v>
      </c>
      <c r="B778" s="16">
        <f>INT((A778-1)/7)+1</f>
        <v/>
      </c>
      <c r="C778" s="47">
        <f>'Start Here'!$B$5+A778-1</f>
        <v/>
      </c>
      <c r="D778" s="16">
        <f>TEXT(C778,"ddd")</f>
        <v/>
      </c>
      <c r="E778" s="15" t="inlineStr">
        <is>
          <t>Story Season</t>
        </is>
      </c>
      <c r="F778" s="18" t="inlineStr">
        <is>
          <t>🧠 Educational Stories</t>
        </is>
      </c>
      <c r="G778" s="15" t="n">
        <v>89</v>
      </c>
      <c r="H778" s="15" t="inlineStr">
        <is>
          <t>Benny Meets a Robot</t>
        </is>
      </c>
      <c r="I778" s="15" t="inlineStr">
        <is>
          <t>Bobo Meets a Robot 🧠 | Kids Stories | Tiny Sparks</t>
        </is>
      </c>
      <c r="J778" s="15" t="inlineStr">
        <is>
          <t>3–5</t>
        </is>
      </c>
      <c r="K778" s="15" t="inlineStr">
        <is>
          <t>Long 16:9 + Short teaser</t>
        </is>
      </c>
      <c r="L778" s="15" t="inlineStr">
        <is>
          <t>3–5 min (Short: 50 s)</t>
        </is>
      </c>
      <c r="M778" s="15" t="inlineStr">
        <is>
          <t>Bobo (lead) · Mila, Leo, Bobo + narrator</t>
        </is>
      </c>
      <c r="N778" s="15" t="inlineStr">
        <is>
          <t>Curiosity + problem solving</t>
        </is>
      </c>
      <c r="O778" s="15" t="inlineStr">
        <is>
          <t>Build first: robot</t>
        </is>
      </c>
      <c r="P778" s="15" t="inlineStr">
        <is>
          <t>P3</t>
        </is>
      </c>
      <c r="Q778" s="15" t="inlineStr">
        <is>
          <t>Idea</t>
        </is>
      </c>
      <c r="R778" s="48">
        <f>INDEX('Start Here'!$B$10:$B$16,WEEKDAY(C778,2))</f>
        <v/>
      </c>
      <c r="S778" s="48">
        <f>MOD(R778+'Start Here'!$B$6/24,1)</f>
        <v/>
      </c>
      <c r="T778" s="15" t="n"/>
      <c r="U778" s="15" t="n"/>
      <c r="V778" s="15" t="n"/>
      <c r="W778" s="15" t="n"/>
      <c r="X778" s="20" t="n"/>
      <c r="Y778" s="15" t="n"/>
    </row>
    <row r="779">
      <c r="A779" s="15" t="n">
        <v>778</v>
      </c>
      <c r="B779" s="16">
        <f>INT((A779-1)/7)+1</f>
        <v/>
      </c>
      <c r="C779" s="47">
        <f>'Start Here'!$B$5+A779-1</f>
        <v/>
      </c>
      <c r="D779" s="16">
        <f>TEXT(C779,"ddd")</f>
        <v/>
      </c>
      <c r="E779" s="15" t="inlineStr">
        <is>
          <t>Story Season</t>
        </is>
      </c>
      <c r="F779" s="27" t="inlineStr">
        <is>
          <t>📚 Moral Stories</t>
        </is>
      </c>
      <c r="G779" s="15" t="n">
        <v>89</v>
      </c>
      <c r="H779" s="15" t="inlineStr">
        <is>
          <t>The Princess Who Learned Humility</t>
        </is>
      </c>
      <c r="I779" s="15" t="inlineStr">
        <is>
          <t>The Princess Who Learned Humility 📚 | Moral Stories for Kids | Tiny Sparks</t>
        </is>
      </c>
      <c r="J779" s="15" t="inlineStr">
        <is>
          <t>6–8</t>
        </is>
      </c>
      <c r="K779" s="15" t="inlineStr">
        <is>
          <t>Long 16:9 + Short teaser</t>
        </is>
      </c>
      <c r="L779" s="15" t="inlineStr">
        <is>
          <t>3–5 min (Short: 50 s)</t>
        </is>
      </c>
      <c r="M779" s="15" t="inlineStr">
        <is>
          <t>narrator + guest animals / Mila &amp; Leo</t>
        </is>
      </c>
      <c r="N779" s="15" t="inlineStr">
        <is>
          <t>Value: humility</t>
        </is>
      </c>
      <c r="O779" s="15" t="inlineStr">
        <is>
          <t>Yes</t>
        </is>
      </c>
      <c r="P779" s="15" t="inlineStr">
        <is>
          <t>P3</t>
        </is>
      </c>
      <c r="Q779" s="15" t="inlineStr">
        <is>
          <t>Idea</t>
        </is>
      </c>
      <c r="R779" s="48">
        <f>INDEX('Start Here'!$B$10:$B$16,WEEKDAY(C779,2))</f>
        <v/>
      </c>
      <c r="S779" s="48">
        <f>MOD(R779+'Start Here'!$B$6/24,1)</f>
        <v/>
      </c>
      <c r="T779" s="15" t="n"/>
      <c r="U779" s="15" t="n"/>
      <c r="V779" s="15" t="n"/>
      <c r="W779" s="15" t="n"/>
      <c r="X779" s="20" t="n"/>
      <c r="Y779" s="15" t="n"/>
    </row>
    <row r="780">
      <c r="A780" s="15" t="n">
        <v>779</v>
      </c>
      <c r="B780" s="16">
        <f>INT((A780-1)/7)+1</f>
        <v/>
      </c>
      <c r="C780" s="47">
        <f>'Start Here'!$B$5+A780-1</f>
        <v/>
      </c>
      <c r="D780" s="16">
        <f>TEXT(C780,"ddd")</f>
        <v/>
      </c>
      <c r="E780" s="15" t="inlineStr">
        <is>
          <t>Story Season</t>
        </is>
      </c>
      <c r="F780" s="18" t="inlineStr">
        <is>
          <t>🧠 Educational Stories</t>
        </is>
      </c>
      <c r="G780" s="15" t="n">
        <v>90</v>
      </c>
      <c r="H780" s="15" t="inlineStr">
        <is>
          <t>The Day the Internet Disappeared</t>
        </is>
      </c>
      <c r="I780" s="15" t="inlineStr">
        <is>
          <t>The Day the Internet Disappeared 🧠 | Kids Stories | Tiny Sparks</t>
        </is>
      </c>
      <c r="J780" s="15" t="inlineStr">
        <is>
          <t>9–12</t>
        </is>
      </c>
      <c r="K780" s="15" t="inlineStr">
        <is>
          <t>Long 16:9 + Short teaser</t>
        </is>
      </c>
      <c r="L780" s="15" t="inlineStr">
        <is>
          <t>3–5 min (Short: 50 s)</t>
        </is>
      </c>
      <c r="M780" s="15" t="inlineStr">
        <is>
          <t>Mila, Leo, Bobo + narrator</t>
        </is>
      </c>
      <c r="N780" s="15" t="inlineStr">
        <is>
          <t>Curiosity + problem solving</t>
        </is>
      </c>
      <c r="O780" s="15" t="inlineStr">
        <is>
          <t>Yes</t>
        </is>
      </c>
      <c r="P780" s="15" t="inlineStr">
        <is>
          <t>P3</t>
        </is>
      </c>
      <c r="Q780" s="15" t="inlineStr">
        <is>
          <t>Idea</t>
        </is>
      </c>
      <c r="R780" s="48">
        <f>INDEX('Start Here'!$B$10:$B$16,WEEKDAY(C780,2))</f>
        <v/>
      </c>
      <c r="S780" s="48">
        <f>MOD(R780+'Start Here'!$B$6/24,1)</f>
        <v/>
      </c>
      <c r="T780" s="15" t="n"/>
      <c r="U780" s="15" t="n"/>
      <c r="V780" s="15" t="n"/>
      <c r="W780" s="15" t="n"/>
      <c r="X780" s="20" t="n"/>
      <c r="Y780" s="15" t="n"/>
    </row>
    <row r="781">
      <c r="A781" s="15" t="n">
        <v>780</v>
      </c>
      <c r="B781" s="16">
        <f>INT((A781-1)/7)+1</f>
        <v/>
      </c>
      <c r="C781" s="47">
        <f>'Start Here'!$B$5+A781-1</f>
        <v/>
      </c>
      <c r="D781" s="16">
        <f>TEXT(C781,"ddd")</f>
        <v/>
      </c>
      <c r="E781" s="15" t="inlineStr">
        <is>
          <t>Story Season</t>
        </is>
      </c>
      <c r="F781" s="27" t="inlineStr">
        <is>
          <t>📚 Moral Stories</t>
        </is>
      </c>
      <c r="G781" s="15" t="n">
        <v>90</v>
      </c>
      <c r="H781" s="15" t="inlineStr">
        <is>
          <t>The Castle of Kindness</t>
        </is>
      </c>
      <c r="I781" s="15" t="inlineStr">
        <is>
          <t>The Castle of Kindness 📚 | Moral Stories for Kids | Tiny Sparks</t>
        </is>
      </c>
      <c r="J781" s="15" t="inlineStr">
        <is>
          <t>6–8</t>
        </is>
      </c>
      <c r="K781" s="15" t="inlineStr">
        <is>
          <t>Long 16:9 + Short teaser</t>
        </is>
      </c>
      <c r="L781" s="15" t="inlineStr">
        <is>
          <t>3–5 min (Short: 50 s)</t>
        </is>
      </c>
      <c r="M781" s="15" t="inlineStr">
        <is>
          <t>narrator + guest animals / Mila &amp; Leo</t>
        </is>
      </c>
      <c r="N781" s="15" t="inlineStr">
        <is>
          <t>Value: kindness</t>
        </is>
      </c>
      <c r="O781" s="15" t="inlineStr">
        <is>
          <t>Yes</t>
        </is>
      </c>
      <c r="P781" s="15" t="inlineStr">
        <is>
          <t>P3</t>
        </is>
      </c>
      <c r="Q781" s="15" t="inlineStr">
        <is>
          <t>Idea</t>
        </is>
      </c>
      <c r="R781" s="48">
        <f>INDEX('Start Here'!$B$10:$B$16,WEEKDAY(C781,2))</f>
        <v/>
      </c>
      <c r="S781" s="48">
        <f>MOD(R781+'Start Here'!$B$6/24,1)</f>
        <v/>
      </c>
      <c r="T781" s="15" t="n"/>
      <c r="U781" s="15" t="n"/>
      <c r="V781" s="15" t="n"/>
      <c r="W781" s="15" t="n"/>
      <c r="X781" s="20" t="n"/>
      <c r="Y781" s="15" t="n"/>
    </row>
    <row r="782">
      <c r="A782" s="15" t="n">
        <v>781</v>
      </c>
      <c r="B782" s="16">
        <f>INT((A782-1)/7)+1</f>
        <v/>
      </c>
      <c r="C782" s="47">
        <f>'Start Here'!$B$5+A782-1</f>
        <v/>
      </c>
      <c r="D782" s="16">
        <f>TEXT(C782,"ddd")</f>
        <v/>
      </c>
      <c r="E782" s="15" t="inlineStr">
        <is>
          <t>Story Season</t>
        </is>
      </c>
      <c r="F782" s="18" t="inlineStr">
        <is>
          <t>🧠 Educational Stories</t>
        </is>
      </c>
      <c r="G782" s="15" t="n">
        <v>91</v>
      </c>
      <c r="H782" s="15" t="inlineStr">
        <is>
          <t>Max Learns How Maps Work</t>
        </is>
      </c>
      <c r="I782" s="15" t="inlineStr">
        <is>
          <t>Leo Learns How Maps Work 🧠 | Kids Stories | Tiny Sparks</t>
        </is>
      </c>
      <c r="J782" s="15" t="inlineStr">
        <is>
          <t>6–8</t>
        </is>
      </c>
      <c r="K782" s="15" t="inlineStr">
        <is>
          <t>Long 16:9 + Short teaser</t>
        </is>
      </c>
      <c r="L782" s="15" t="inlineStr">
        <is>
          <t>3–5 min (Short: 50 s)</t>
        </is>
      </c>
      <c r="M782" s="15" t="inlineStr">
        <is>
          <t>Leo (lead) · Mila, Leo, Bobo + narrator</t>
        </is>
      </c>
      <c r="N782" s="15" t="inlineStr">
        <is>
          <t>Life skill: Maps Work</t>
        </is>
      </c>
      <c r="O782" s="15" t="inlineStr">
        <is>
          <t>Yes</t>
        </is>
      </c>
      <c r="P782" s="15" t="inlineStr">
        <is>
          <t>P3</t>
        </is>
      </c>
      <c r="Q782" s="15" t="inlineStr">
        <is>
          <t>Idea</t>
        </is>
      </c>
      <c r="R782" s="48">
        <f>INDEX('Start Here'!$B$10:$B$16,WEEKDAY(C782,2))</f>
        <v/>
      </c>
      <c r="S782" s="48">
        <f>MOD(R782+'Start Here'!$B$6/24,1)</f>
        <v/>
      </c>
      <c r="T782" s="15" t="n"/>
      <c r="U782" s="15" t="n"/>
      <c r="V782" s="15" t="n"/>
      <c r="W782" s="15" t="n"/>
      <c r="X782" s="20" t="n"/>
      <c r="Y782" s="15" t="n"/>
    </row>
    <row r="783">
      <c r="A783" s="15" t="n">
        <v>782</v>
      </c>
      <c r="B783" s="16">
        <f>INT((A783-1)/7)+1</f>
        <v/>
      </c>
      <c r="C783" s="47">
        <f>'Start Here'!$B$5+A783-1</f>
        <v/>
      </c>
      <c r="D783" s="16">
        <f>TEXT(C783,"ddd")</f>
        <v/>
      </c>
      <c r="E783" s="15" t="inlineStr">
        <is>
          <t>Story Season</t>
        </is>
      </c>
      <c r="F783" s="27" t="inlineStr">
        <is>
          <t>📚 Moral Stories</t>
        </is>
      </c>
      <c r="G783" s="15" t="n">
        <v>91</v>
      </c>
      <c r="H783" s="15" t="inlineStr">
        <is>
          <t>The Mystery of the Missing Treasure</t>
        </is>
      </c>
      <c r="I783" s="15" t="inlineStr">
        <is>
          <t>The Mystery of the Missing Treasure 📚 | Moral Stories for Kids | Tiny Sparks</t>
        </is>
      </c>
      <c r="J783" s="15" t="inlineStr">
        <is>
          <t>3–5</t>
        </is>
      </c>
      <c r="K783" s="15" t="inlineStr">
        <is>
          <t>Long 16:9 + Short teaser</t>
        </is>
      </c>
      <c r="L783" s="15" t="inlineStr">
        <is>
          <t>3–5 min (Short: 50 s)</t>
        </is>
      </c>
      <c r="M783" s="15" t="inlineStr">
        <is>
          <t>narrator + guest animals / Mila &amp; Leo</t>
        </is>
      </c>
      <c r="N783" s="15" t="inlineStr">
        <is>
          <t>Value: what really matters</t>
        </is>
      </c>
      <c r="O783" s="15" t="inlineStr">
        <is>
          <t>Yes</t>
        </is>
      </c>
      <c r="P783" s="15" t="inlineStr">
        <is>
          <t>P3</t>
        </is>
      </c>
      <c r="Q783" s="15" t="inlineStr">
        <is>
          <t>Idea</t>
        </is>
      </c>
      <c r="R783" s="48">
        <f>INDEX('Start Here'!$B$10:$B$16,WEEKDAY(C783,2))</f>
        <v/>
      </c>
      <c r="S783" s="48">
        <f>MOD(R783+'Start Here'!$B$6/24,1)</f>
        <v/>
      </c>
      <c r="T783" s="15" t="n"/>
      <c r="U783" s="15" t="n"/>
      <c r="V783" s="15" t="n"/>
      <c r="W783" s="15" t="n"/>
      <c r="X783" s="20" t="n"/>
      <c r="Y783" s="15" t="n"/>
    </row>
    <row r="784">
      <c r="A784" s="15" t="n">
        <v>783</v>
      </c>
      <c r="B784" s="16">
        <f>INT((A784-1)/7)+1</f>
        <v/>
      </c>
      <c r="C784" s="47">
        <f>'Start Here'!$B$5+A784-1</f>
        <v/>
      </c>
      <c r="D784" s="16">
        <f>TEXT(C784,"ddd")</f>
        <v/>
      </c>
      <c r="E784" s="15" t="inlineStr">
        <is>
          <t>Story Season</t>
        </is>
      </c>
      <c r="F784" s="18" t="inlineStr">
        <is>
          <t>🧠 Educational Stories</t>
        </is>
      </c>
      <c r="G784" s="15" t="n">
        <v>92</v>
      </c>
      <c r="H784" s="15" t="inlineStr">
        <is>
          <t>Sara Discovers Different Languages</t>
        </is>
      </c>
      <c r="I784" s="15" t="inlineStr">
        <is>
          <t>Mila Discovers Different Languages 🧠 | Kids Stories | Tiny Sparks</t>
        </is>
      </c>
      <c r="J784" s="15" t="inlineStr">
        <is>
          <t>6–8</t>
        </is>
      </c>
      <c r="K784" s="15" t="inlineStr">
        <is>
          <t>Long 16:9 + Short teaser</t>
        </is>
      </c>
      <c r="L784" s="15" t="inlineStr">
        <is>
          <t>3–5 min (Short: 50 s)</t>
        </is>
      </c>
      <c r="M784" s="15" t="inlineStr">
        <is>
          <t>Mila (lead) · Mila, Leo, Bobo + narrator</t>
        </is>
      </c>
      <c r="N784" s="15" t="inlineStr">
        <is>
          <t>Life skill: Different Languages</t>
        </is>
      </c>
      <c r="O784" s="15" t="inlineStr">
        <is>
          <t>Yes</t>
        </is>
      </c>
      <c r="P784" s="15" t="inlineStr">
        <is>
          <t>P3</t>
        </is>
      </c>
      <c r="Q784" s="15" t="inlineStr">
        <is>
          <t>Idea</t>
        </is>
      </c>
      <c r="R784" s="48">
        <f>INDEX('Start Here'!$B$10:$B$16,WEEKDAY(C784,2))</f>
        <v/>
      </c>
      <c r="S784" s="48">
        <f>MOD(R784+'Start Here'!$B$6/24,1)</f>
        <v/>
      </c>
      <c r="T784" s="15" t="n"/>
      <c r="U784" s="15" t="n"/>
      <c r="V784" s="15" t="n"/>
      <c r="W784" s="15" t="n"/>
      <c r="X784" s="20" t="n"/>
      <c r="Y784" s="15" t="n"/>
    </row>
    <row r="785">
      <c r="A785" s="15" t="n">
        <v>784</v>
      </c>
      <c r="B785" s="16">
        <f>INT((A785-1)/7)+1</f>
        <v/>
      </c>
      <c r="C785" s="47">
        <f>'Start Here'!$B$5+A785-1</f>
        <v/>
      </c>
      <c r="D785" s="16">
        <f>TEXT(C785,"ddd")</f>
        <v/>
      </c>
      <c r="E785" s="15" t="inlineStr">
        <is>
          <t>Story Season</t>
        </is>
      </c>
      <c r="F785" s="27" t="inlineStr">
        <is>
          <t>📚 Moral Stories</t>
        </is>
      </c>
      <c r="G785" s="15" t="n">
        <v>92</v>
      </c>
      <c r="H785" s="15" t="inlineStr">
        <is>
          <t>The Lesson of the Broken Bridge</t>
        </is>
      </c>
      <c r="I785" s="15" t="inlineStr">
        <is>
          <t>The Lesson of the Broken Bridge 📚 | Moral Stories for Kids | Tiny Sparks</t>
        </is>
      </c>
      <c r="J785" s="15" t="inlineStr">
        <is>
          <t>6–8</t>
        </is>
      </c>
      <c r="K785" s="15" t="inlineStr">
        <is>
          <t>Long 16:9 + Short teaser</t>
        </is>
      </c>
      <c r="L785" s="15" t="inlineStr">
        <is>
          <t>3–5 min (Short: 50 s)</t>
        </is>
      </c>
      <c r="M785" s="15" t="inlineStr">
        <is>
          <t>narrator + guest animals / Mila &amp; Leo</t>
        </is>
      </c>
      <c r="N785" s="15" t="inlineStr">
        <is>
          <t>Value: kindness</t>
        </is>
      </c>
      <c r="O785" s="15" t="inlineStr">
        <is>
          <t>Yes</t>
        </is>
      </c>
      <c r="P785" s="15" t="inlineStr">
        <is>
          <t>P3</t>
        </is>
      </c>
      <c r="Q785" s="15" t="inlineStr">
        <is>
          <t>Idea</t>
        </is>
      </c>
      <c r="R785" s="48">
        <f>INDEX('Start Here'!$B$10:$B$16,WEEKDAY(C785,2))</f>
        <v/>
      </c>
      <c r="S785" s="48">
        <f>MOD(R785+'Start Here'!$B$6/24,1)</f>
        <v/>
      </c>
      <c r="T785" s="15" t="n"/>
      <c r="U785" s="15" t="n"/>
      <c r="V785" s="15" t="n"/>
      <c r="W785" s="15" t="n"/>
      <c r="X785" s="20" t="n"/>
      <c r="Y785" s="15" t="n"/>
    </row>
    <row r="786">
      <c r="A786" s="15" t="n">
        <v>785</v>
      </c>
      <c r="B786" s="16">
        <f>INT((A786-1)/7)+1</f>
        <v/>
      </c>
      <c r="C786" s="47">
        <f>'Start Here'!$B$5+A786-1</f>
        <v/>
      </c>
      <c r="D786" s="16">
        <f>TEXT(C786,"ddd")</f>
        <v/>
      </c>
      <c r="E786" s="15" t="inlineStr">
        <is>
          <t>Story Season</t>
        </is>
      </c>
      <c r="F786" s="18" t="inlineStr">
        <is>
          <t>🧠 Educational Stories</t>
        </is>
      </c>
      <c r="G786" s="15" t="n">
        <v>93</v>
      </c>
      <c r="H786" s="15" t="inlineStr">
        <is>
          <t>The Little Photographer</t>
        </is>
      </c>
      <c r="I786" s="15" t="inlineStr">
        <is>
          <t>The Little Photographer 🧠 | Kids Stories | Tiny Sparks</t>
        </is>
      </c>
      <c r="J786" s="15" t="inlineStr">
        <is>
          <t>3–5</t>
        </is>
      </c>
      <c r="K786" s="15" t="inlineStr">
        <is>
          <t>Long 16:9 + Short teaser</t>
        </is>
      </c>
      <c r="L786" s="15" t="inlineStr">
        <is>
          <t>3–5 min (Short: 50 s)</t>
        </is>
      </c>
      <c r="M786" s="15" t="inlineStr">
        <is>
          <t>Mila, Leo, Bobo + narrator</t>
        </is>
      </c>
      <c r="N786" s="15" t="inlineStr">
        <is>
          <t>Curiosity + problem solving</t>
        </is>
      </c>
      <c r="O786" s="15" t="inlineStr">
        <is>
          <t>Yes</t>
        </is>
      </c>
      <c r="P786" s="15" t="inlineStr">
        <is>
          <t>P3</t>
        </is>
      </c>
      <c r="Q786" s="15" t="inlineStr">
        <is>
          <t>Idea</t>
        </is>
      </c>
      <c r="R786" s="48">
        <f>INDEX('Start Here'!$B$10:$B$16,WEEKDAY(C786,2))</f>
        <v/>
      </c>
      <c r="S786" s="48">
        <f>MOD(R786+'Start Here'!$B$6/24,1)</f>
        <v/>
      </c>
      <c r="T786" s="15" t="n"/>
      <c r="U786" s="15" t="n"/>
      <c r="V786" s="15" t="n"/>
      <c r="W786" s="15" t="n"/>
      <c r="X786" s="20" t="n"/>
      <c r="Y786" s="15" t="n"/>
    </row>
    <row r="787">
      <c r="A787" s="15" t="n">
        <v>786</v>
      </c>
      <c r="B787" s="16">
        <f>INT((A787-1)/7)+1</f>
        <v/>
      </c>
      <c r="C787" s="47">
        <f>'Start Here'!$B$5+A787-1</f>
        <v/>
      </c>
      <c r="D787" s="16">
        <f>TEXT(C787,"ddd")</f>
        <v/>
      </c>
      <c r="E787" s="15" t="inlineStr">
        <is>
          <t>Story Season</t>
        </is>
      </c>
      <c r="F787" s="27" t="inlineStr">
        <is>
          <t>📚 Moral Stories</t>
        </is>
      </c>
      <c r="G787" s="15" t="n">
        <v>93</v>
      </c>
      <c r="H787" s="15" t="inlineStr">
        <is>
          <t>The Day Everyone Worked Together</t>
        </is>
      </c>
      <c r="I787" s="15" t="inlineStr">
        <is>
          <t>The Day Everyone Worked Together 📚 | Moral Stories for Kids | Tiny Sparks</t>
        </is>
      </c>
      <c r="J787" s="15" t="inlineStr">
        <is>
          <t>3–5</t>
        </is>
      </c>
      <c r="K787" s="15" t="inlineStr">
        <is>
          <t>Long 16:9 + Short teaser</t>
        </is>
      </c>
      <c r="L787" s="15" t="inlineStr">
        <is>
          <t>3–5 min (Short: 50 s)</t>
        </is>
      </c>
      <c r="M787" s="15" t="inlineStr">
        <is>
          <t>narrator + guest animals / Mila &amp; Leo</t>
        </is>
      </c>
      <c r="N787" s="15" t="inlineStr">
        <is>
          <t>Value: teamwork</t>
        </is>
      </c>
      <c r="O787" s="15" t="inlineStr">
        <is>
          <t>Yes</t>
        </is>
      </c>
      <c r="P787" s="15" t="inlineStr">
        <is>
          <t>P3</t>
        </is>
      </c>
      <c r="Q787" s="15" t="inlineStr">
        <is>
          <t>Idea</t>
        </is>
      </c>
      <c r="R787" s="48">
        <f>INDEX('Start Here'!$B$10:$B$16,WEEKDAY(C787,2))</f>
        <v/>
      </c>
      <c r="S787" s="48">
        <f>MOD(R787+'Start Here'!$B$6/24,1)</f>
        <v/>
      </c>
      <c r="T787" s="15" t="n"/>
      <c r="U787" s="15" t="n"/>
      <c r="V787" s="15" t="n"/>
      <c r="W787" s="15" t="n"/>
      <c r="X787" s="20" t="n"/>
      <c r="Y787" s="15" t="n"/>
    </row>
    <row r="788">
      <c r="A788" s="15" t="n">
        <v>787</v>
      </c>
      <c r="B788" s="16">
        <f>INT((A788-1)/7)+1</f>
        <v/>
      </c>
      <c r="C788" s="47">
        <f>'Start Here'!$B$5+A788-1</f>
        <v/>
      </c>
      <c r="D788" s="16">
        <f>TEXT(C788,"ddd")</f>
        <v/>
      </c>
      <c r="E788" s="15" t="inlineStr">
        <is>
          <t>Story Season</t>
        </is>
      </c>
      <c r="F788" s="18" t="inlineStr">
        <is>
          <t>🧠 Educational Stories</t>
        </is>
      </c>
      <c r="G788" s="15" t="n">
        <v>94</v>
      </c>
      <c r="H788" s="15" t="inlineStr">
        <is>
          <t>Emma Learns About Time</t>
        </is>
      </c>
      <c r="I788" s="15" t="inlineStr">
        <is>
          <t>Mila Learns About Time 🧠 | Kids Stories | Tiny Sparks</t>
        </is>
      </c>
      <c r="J788" s="15" t="inlineStr">
        <is>
          <t>6–8</t>
        </is>
      </c>
      <c r="K788" s="15" t="inlineStr">
        <is>
          <t>Long 16:9 + Short teaser</t>
        </is>
      </c>
      <c r="L788" s="15" t="inlineStr">
        <is>
          <t>3–5 min (Short: 50 s)</t>
        </is>
      </c>
      <c r="M788" s="15" t="inlineStr">
        <is>
          <t>Mila (lead) · Mila, Leo, Bobo + narrator</t>
        </is>
      </c>
      <c r="N788" s="15" t="inlineStr">
        <is>
          <t>Life skill: Time</t>
        </is>
      </c>
      <c r="O788" s="15" t="inlineStr">
        <is>
          <t>Yes</t>
        </is>
      </c>
      <c r="P788" s="15" t="inlineStr">
        <is>
          <t>P3</t>
        </is>
      </c>
      <c r="Q788" s="15" t="inlineStr">
        <is>
          <t>Idea</t>
        </is>
      </c>
      <c r="R788" s="48">
        <f>INDEX('Start Here'!$B$10:$B$16,WEEKDAY(C788,2))</f>
        <v/>
      </c>
      <c r="S788" s="48">
        <f>MOD(R788+'Start Here'!$B$6/24,1)</f>
        <v/>
      </c>
      <c r="T788" s="15" t="n"/>
      <c r="U788" s="15" t="n"/>
      <c r="V788" s="15" t="n"/>
      <c r="W788" s="15" t="n"/>
      <c r="X788" s="20" t="n"/>
      <c r="Y788" s="15" t="n"/>
    </row>
    <row r="789">
      <c r="A789" s="15" t="n">
        <v>788</v>
      </c>
      <c r="B789" s="16">
        <f>INT((A789-1)/7)+1</f>
        <v/>
      </c>
      <c r="C789" s="47">
        <f>'Start Here'!$B$5+A789-1</f>
        <v/>
      </c>
      <c r="D789" s="16">
        <f>TEXT(C789,"ddd")</f>
        <v/>
      </c>
      <c r="E789" s="15" t="inlineStr">
        <is>
          <t>Story Season</t>
        </is>
      </c>
      <c r="F789" s="27" t="inlineStr">
        <is>
          <t>📚 Moral Stories</t>
        </is>
      </c>
      <c r="G789" s="15" t="n">
        <v>94</v>
      </c>
      <c r="H789" s="15" t="inlineStr">
        <is>
          <t>The Village Without Kindness</t>
        </is>
      </c>
      <c r="I789" s="15" t="inlineStr">
        <is>
          <t>The Village Without Kindness 📚 | Moral Stories for Kids | Tiny Sparks</t>
        </is>
      </c>
      <c r="J789" s="15" t="inlineStr">
        <is>
          <t>3–5</t>
        </is>
      </c>
      <c r="K789" s="15" t="inlineStr">
        <is>
          <t>Long 16:9 + Short teaser</t>
        </is>
      </c>
      <c r="L789" s="15" t="inlineStr">
        <is>
          <t>3–5 min (Short: 50 s)</t>
        </is>
      </c>
      <c r="M789" s="15" t="inlineStr">
        <is>
          <t>narrator + guest animals / Mila &amp; Leo</t>
        </is>
      </c>
      <c r="N789" s="15" t="inlineStr">
        <is>
          <t>Value: kindness</t>
        </is>
      </c>
      <c r="O789" s="15" t="inlineStr">
        <is>
          <t>Yes</t>
        </is>
      </c>
      <c r="P789" s="15" t="inlineStr">
        <is>
          <t>P3</t>
        </is>
      </c>
      <c r="Q789" s="15" t="inlineStr">
        <is>
          <t>Idea</t>
        </is>
      </c>
      <c r="R789" s="48">
        <f>INDEX('Start Here'!$B$10:$B$16,WEEKDAY(C789,2))</f>
        <v/>
      </c>
      <c r="S789" s="48">
        <f>MOD(R789+'Start Here'!$B$6/24,1)</f>
        <v/>
      </c>
      <c r="T789" s="15" t="n"/>
      <c r="U789" s="15" t="n"/>
      <c r="V789" s="15" t="n"/>
      <c r="W789" s="15" t="n"/>
      <c r="X789" s="20" t="n"/>
      <c r="Y789" s="15" t="n"/>
    </row>
    <row r="790">
      <c r="A790" s="15" t="n">
        <v>789</v>
      </c>
      <c r="B790" s="16">
        <f>INT((A790-1)/7)+1</f>
        <v/>
      </c>
      <c r="C790" s="47">
        <f>'Start Here'!$B$5+A790-1</f>
        <v/>
      </c>
      <c r="D790" s="16">
        <f>TEXT(C790,"ddd")</f>
        <v/>
      </c>
      <c r="E790" s="15" t="inlineStr">
        <is>
          <t>Story Season</t>
        </is>
      </c>
      <c r="F790" s="18" t="inlineStr">
        <is>
          <t>🧠 Educational Stories</t>
        </is>
      </c>
      <c r="G790" s="15" t="n">
        <v>95</v>
      </c>
      <c r="H790" s="15" t="inlineStr">
        <is>
          <t>Tommy Discovers the History of Wheels</t>
        </is>
      </c>
      <c r="I790" s="15" t="inlineStr">
        <is>
          <t>Leo Discovers the History of Wheels 🧠 | Kids Stories | Tiny Sparks</t>
        </is>
      </c>
      <c r="J790" s="15" t="inlineStr">
        <is>
          <t>6–8</t>
        </is>
      </c>
      <c r="K790" s="15" t="inlineStr">
        <is>
          <t>Long 16:9 + Short teaser</t>
        </is>
      </c>
      <c r="L790" s="15" t="inlineStr">
        <is>
          <t>3–5 min (Short: 50 s)</t>
        </is>
      </c>
      <c r="M790" s="15" t="inlineStr">
        <is>
          <t>Leo (lead) · Mila, Leo, Bobo + narrator</t>
        </is>
      </c>
      <c r="N790" s="15" t="inlineStr">
        <is>
          <t>Life skill: History of Wheels</t>
        </is>
      </c>
      <c r="O790" s="15" t="inlineStr">
        <is>
          <t>Yes</t>
        </is>
      </c>
      <c r="P790" s="15" t="inlineStr">
        <is>
          <t>P3</t>
        </is>
      </c>
      <c r="Q790" s="15" t="inlineStr">
        <is>
          <t>Idea</t>
        </is>
      </c>
      <c r="R790" s="48">
        <f>INDEX('Start Here'!$B$10:$B$16,WEEKDAY(C790,2))</f>
        <v/>
      </c>
      <c r="S790" s="48">
        <f>MOD(R790+'Start Here'!$B$6/24,1)</f>
        <v/>
      </c>
      <c r="T790" s="15" t="n"/>
      <c r="U790" s="15" t="n"/>
      <c r="V790" s="15" t="n"/>
      <c r="W790" s="15" t="n"/>
      <c r="X790" s="20" t="n"/>
      <c r="Y790" s="15" t="n"/>
    </row>
    <row r="791">
      <c r="A791" s="15" t="n">
        <v>790</v>
      </c>
      <c r="B791" s="16">
        <f>INT((A791-1)/7)+1</f>
        <v/>
      </c>
      <c r="C791" s="47">
        <f>'Start Here'!$B$5+A791-1</f>
        <v/>
      </c>
      <c r="D791" s="16">
        <f>TEXT(C791,"ddd")</f>
        <v/>
      </c>
      <c r="E791" s="15" t="inlineStr">
        <is>
          <t>Story Season</t>
        </is>
      </c>
      <c r="F791" s="27" t="inlineStr">
        <is>
          <t>📚 Moral Stories</t>
        </is>
      </c>
      <c r="G791" s="15" t="n">
        <v>95</v>
      </c>
      <c r="H791" s="15" t="inlineStr">
        <is>
          <t>The Race Between Friends</t>
        </is>
      </c>
      <c r="I791" s="15" t="inlineStr">
        <is>
          <t>The Race Between Friends 📚 | Moral Stories for Kids | Tiny Sparks</t>
        </is>
      </c>
      <c r="J791" s="15" t="inlineStr">
        <is>
          <t>3–5</t>
        </is>
      </c>
      <c r="K791" s="15" t="inlineStr">
        <is>
          <t>Long 16:9 + Short teaser</t>
        </is>
      </c>
      <c r="L791" s="15" t="inlineStr">
        <is>
          <t>3–5 min (Short: 50 s)</t>
        </is>
      </c>
      <c r="M791" s="15" t="inlineStr">
        <is>
          <t>narrator + guest animals / Mila &amp; Leo</t>
        </is>
      </c>
      <c r="N791" s="15" t="inlineStr">
        <is>
          <t>Value: friendship</t>
        </is>
      </c>
      <c r="O791" s="15" t="inlineStr">
        <is>
          <t>Yes</t>
        </is>
      </c>
      <c r="P791" s="15" t="inlineStr">
        <is>
          <t>P3</t>
        </is>
      </c>
      <c r="Q791" s="15" t="inlineStr">
        <is>
          <t>Idea</t>
        </is>
      </c>
      <c r="R791" s="48">
        <f>INDEX('Start Here'!$B$10:$B$16,WEEKDAY(C791,2))</f>
        <v/>
      </c>
      <c r="S791" s="48">
        <f>MOD(R791+'Start Here'!$B$6/24,1)</f>
        <v/>
      </c>
      <c r="T791" s="15" t="n"/>
      <c r="U791" s="15" t="n"/>
      <c r="V791" s="15" t="n"/>
      <c r="W791" s="15" t="n"/>
      <c r="X791" s="20" t="n"/>
      <c r="Y791" s="15" t="n"/>
    </row>
    <row r="792">
      <c r="A792" s="15" t="n">
        <v>791</v>
      </c>
      <c r="B792" s="16">
        <f>INT((A792-1)/7)+1</f>
        <v/>
      </c>
      <c r="C792" s="47">
        <f>'Start Here'!$B$5+A792-1</f>
        <v/>
      </c>
      <c r="D792" s="16">
        <f>TEXT(C792,"ddd")</f>
        <v/>
      </c>
      <c r="E792" s="15" t="inlineStr">
        <is>
          <t>Story Season</t>
        </is>
      </c>
      <c r="F792" s="18" t="inlineStr">
        <is>
          <t>🧠 Educational Stories</t>
        </is>
      </c>
      <c r="G792" s="15" t="n">
        <v>96</v>
      </c>
      <c r="H792" s="15" t="inlineStr">
        <is>
          <t>The Magic Museum Adventure</t>
        </is>
      </c>
      <c r="I792" s="15" t="inlineStr">
        <is>
          <t>The Magic Museum Adventure 🧠 | Kids Stories | Tiny Sparks</t>
        </is>
      </c>
      <c r="J792" s="15" t="inlineStr">
        <is>
          <t>3–5</t>
        </is>
      </c>
      <c r="K792" s="15" t="inlineStr">
        <is>
          <t>Long 16:9 + Short teaser</t>
        </is>
      </c>
      <c r="L792" s="15" t="inlineStr">
        <is>
          <t>3–5 min (Short: 50 s)</t>
        </is>
      </c>
      <c r="M792" s="15" t="inlineStr">
        <is>
          <t>Mila, Leo, Bobo + narrator</t>
        </is>
      </c>
      <c r="N792" s="15" t="inlineStr">
        <is>
          <t>Curiosity + problem solving</t>
        </is>
      </c>
      <c r="O792" s="15" t="inlineStr">
        <is>
          <t>Yes</t>
        </is>
      </c>
      <c r="P792" s="15" t="inlineStr">
        <is>
          <t>P3</t>
        </is>
      </c>
      <c r="Q792" s="15" t="inlineStr">
        <is>
          <t>Idea</t>
        </is>
      </c>
      <c r="R792" s="48">
        <f>INDEX('Start Here'!$B$10:$B$16,WEEKDAY(C792,2))</f>
        <v/>
      </c>
      <c r="S792" s="48">
        <f>MOD(R792+'Start Here'!$B$6/24,1)</f>
        <v/>
      </c>
      <c r="T792" s="15" t="n"/>
      <c r="U792" s="15" t="n"/>
      <c r="V792" s="15" t="n"/>
      <c r="W792" s="15" t="n"/>
      <c r="X792" s="20" t="n"/>
      <c r="Y792" s="15" t="n"/>
    </row>
    <row r="793">
      <c r="A793" s="15" t="n">
        <v>792</v>
      </c>
      <c r="B793" s="16">
        <f>INT((A793-1)/7)+1</f>
        <v/>
      </c>
      <c r="C793" s="47">
        <f>'Start Here'!$B$5+A793-1</f>
        <v/>
      </c>
      <c r="D793" s="16">
        <f>TEXT(C793,"ddd")</f>
        <v/>
      </c>
      <c r="E793" s="15" t="inlineStr">
        <is>
          <t>Story Season</t>
        </is>
      </c>
      <c r="F793" s="27" t="inlineStr">
        <is>
          <t>📚 Moral Stories</t>
        </is>
      </c>
      <c r="G793" s="15" t="n">
        <v>96</v>
      </c>
      <c r="H793" s="15" t="inlineStr">
        <is>
          <t>The Competition That Became a Friendship</t>
        </is>
      </c>
      <c r="I793" s="15" t="inlineStr">
        <is>
          <t>The Competition That Became a Friendship 📚 | Moral Stories for Kids | Tiny Sparks</t>
        </is>
      </c>
      <c r="J793" s="15" t="inlineStr">
        <is>
          <t>3–5</t>
        </is>
      </c>
      <c r="K793" s="15" t="inlineStr">
        <is>
          <t>Long 16:9 + Short teaser</t>
        </is>
      </c>
      <c r="L793" s="15" t="inlineStr">
        <is>
          <t>3–5 min (Short: 50 s)</t>
        </is>
      </c>
      <c r="M793" s="15" t="inlineStr">
        <is>
          <t>narrator + guest animals / Mila &amp; Leo</t>
        </is>
      </c>
      <c r="N793" s="15" t="inlineStr">
        <is>
          <t>Value: friendship</t>
        </is>
      </c>
      <c r="O793" s="15" t="inlineStr">
        <is>
          <t>Yes</t>
        </is>
      </c>
      <c r="P793" s="15" t="inlineStr">
        <is>
          <t>P3</t>
        </is>
      </c>
      <c r="Q793" s="15" t="inlineStr">
        <is>
          <t>Idea</t>
        </is>
      </c>
      <c r="R793" s="48">
        <f>INDEX('Start Here'!$B$10:$B$16,WEEKDAY(C793,2))</f>
        <v/>
      </c>
      <c r="S793" s="48">
        <f>MOD(R793+'Start Here'!$B$6/24,1)</f>
        <v/>
      </c>
      <c r="T793" s="15" t="n"/>
      <c r="U793" s="15" t="n"/>
      <c r="V793" s="15" t="n"/>
      <c r="W793" s="15" t="n"/>
      <c r="X793" s="20" t="n"/>
      <c r="Y793" s="15" t="n"/>
    </row>
    <row r="794">
      <c r="A794" s="15" t="n">
        <v>793</v>
      </c>
      <c r="B794" s="16">
        <f>INT((A794-1)/7)+1</f>
        <v/>
      </c>
      <c r="C794" s="47">
        <f>'Start Here'!$B$5+A794-1</f>
        <v/>
      </c>
      <c r="D794" s="16">
        <f>TEXT(C794,"ddd")</f>
        <v/>
      </c>
      <c r="E794" s="15" t="inlineStr">
        <is>
          <t>Story Season</t>
        </is>
      </c>
      <c r="F794" s="18" t="inlineStr">
        <is>
          <t>🧠 Educational Stories</t>
        </is>
      </c>
      <c r="G794" s="15" t="n">
        <v>97</v>
      </c>
      <c r="H794" s="15" t="inlineStr">
        <is>
          <t>Benny Learns About Team Sports</t>
        </is>
      </c>
      <c r="I794" s="15" t="inlineStr">
        <is>
          <t>Bobo Learns About Team Sports 🧠 | Kids Stories | Tiny Sparks</t>
        </is>
      </c>
      <c r="J794" s="15" t="inlineStr">
        <is>
          <t>3–5</t>
        </is>
      </c>
      <c r="K794" s="15" t="inlineStr">
        <is>
          <t>Long 16:9 + Short teaser</t>
        </is>
      </c>
      <c r="L794" s="15" t="inlineStr">
        <is>
          <t>3–5 min (Short: 50 s)</t>
        </is>
      </c>
      <c r="M794" s="15" t="inlineStr">
        <is>
          <t>Bobo (lead) · Mila, Leo, Bobo + narrator</t>
        </is>
      </c>
      <c r="N794" s="15" t="inlineStr">
        <is>
          <t>Life skill: Team Sports</t>
        </is>
      </c>
      <c r="O794" s="15" t="inlineStr">
        <is>
          <t>Yes</t>
        </is>
      </c>
      <c r="P794" s="15" t="inlineStr">
        <is>
          <t>P3</t>
        </is>
      </c>
      <c r="Q794" s="15" t="inlineStr">
        <is>
          <t>Idea</t>
        </is>
      </c>
      <c r="R794" s="48">
        <f>INDEX('Start Here'!$B$10:$B$16,WEEKDAY(C794,2))</f>
        <v/>
      </c>
      <c r="S794" s="48">
        <f>MOD(R794+'Start Here'!$B$6/24,1)</f>
        <v/>
      </c>
      <c r="T794" s="15" t="n"/>
      <c r="U794" s="15" t="n"/>
      <c r="V794" s="15" t="n"/>
      <c r="W794" s="15" t="n"/>
      <c r="X794" s="20" t="n"/>
      <c r="Y794" s="15" t="n"/>
    </row>
    <row r="795">
      <c r="A795" s="15" t="n">
        <v>794</v>
      </c>
      <c r="B795" s="16">
        <f>INT((A795-1)/7)+1</f>
        <v/>
      </c>
      <c r="C795" s="47">
        <f>'Start Here'!$B$5+A795-1</f>
        <v/>
      </c>
      <c r="D795" s="16">
        <f>TEXT(C795,"ddd")</f>
        <v/>
      </c>
      <c r="E795" s="15" t="inlineStr">
        <is>
          <t>Story Season</t>
        </is>
      </c>
      <c r="F795" s="27" t="inlineStr">
        <is>
          <t>📚 Moral Stories</t>
        </is>
      </c>
      <c r="G795" s="15" t="n">
        <v>97</v>
      </c>
      <c r="H795" s="15" t="inlineStr">
        <is>
          <t>The Gift That Changed Everything</t>
        </is>
      </c>
      <c r="I795" s="15" t="inlineStr">
        <is>
          <t>The Gift That Changed Everything 📚 | Moral Stories for Kids | Tiny Sparks</t>
        </is>
      </c>
      <c r="J795" s="15" t="inlineStr">
        <is>
          <t>3–5</t>
        </is>
      </c>
      <c r="K795" s="15" t="inlineStr">
        <is>
          <t>Long 16:9 + Short teaser</t>
        </is>
      </c>
      <c r="L795" s="15" t="inlineStr">
        <is>
          <t>3–5 min (Short: 50 s)</t>
        </is>
      </c>
      <c r="M795" s="15" t="inlineStr">
        <is>
          <t>narrator + guest animals / Mila &amp; Leo</t>
        </is>
      </c>
      <c r="N795" s="15" t="inlineStr">
        <is>
          <t>Value: generosity</t>
        </is>
      </c>
      <c r="O795" s="15" t="inlineStr">
        <is>
          <t>Yes</t>
        </is>
      </c>
      <c r="P795" s="15" t="inlineStr">
        <is>
          <t>P3</t>
        </is>
      </c>
      <c r="Q795" s="15" t="inlineStr">
        <is>
          <t>Idea</t>
        </is>
      </c>
      <c r="R795" s="48">
        <f>INDEX('Start Here'!$B$10:$B$16,WEEKDAY(C795,2))</f>
        <v/>
      </c>
      <c r="S795" s="48">
        <f>MOD(R795+'Start Here'!$B$6/24,1)</f>
        <v/>
      </c>
      <c r="T795" s="15" t="n"/>
      <c r="U795" s="15" t="n"/>
      <c r="V795" s="15" t="n"/>
      <c r="W795" s="15" t="n"/>
      <c r="X795" s="20" t="n"/>
      <c r="Y795" s="15" t="n"/>
    </row>
    <row r="796">
      <c r="A796" s="15" t="n">
        <v>795</v>
      </c>
      <c r="B796" s="16">
        <f>INT((A796-1)/7)+1</f>
        <v/>
      </c>
      <c r="C796" s="47">
        <f>'Start Here'!$B$5+A796-1</f>
        <v/>
      </c>
      <c r="D796" s="16">
        <f>TEXT(C796,"ddd")</f>
        <v/>
      </c>
      <c r="E796" s="15" t="inlineStr">
        <is>
          <t>Story Season</t>
        </is>
      </c>
      <c r="F796" s="18" t="inlineStr">
        <is>
          <t>🧠 Educational Stories</t>
        </is>
      </c>
      <c r="G796" s="15" t="n">
        <v>98</v>
      </c>
      <c r="H796" s="15" t="inlineStr">
        <is>
          <t>Mia Learns Why We Should Protect Animals</t>
        </is>
      </c>
      <c r="I796" s="15" t="inlineStr">
        <is>
          <t>Mila Learns Why We Should Protect Animals 🧠 | Kids Stories | Tiny Sparks</t>
        </is>
      </c>
      <c r="J796" s="15" t="inlineStr">
        <is>
          <t>3–5</t>
        </is>
      </c>
      <c r="K796" s="15" t="inlineStr">
        <is>
          <t>Long 16:9 + Short teaser</t>
        </is>
      </c>
      <c r="L796" s="15" t="inlineStr">
        <is>
          <t>3–5 min (Short: 50 s)</t>
        </is>
      </c>
      <c r="M796" s="15" t="inlineStr">
        <is>
          <t>Mila (lead) · Mila, Leo, Bobo + narrator</t>
        </is>
      </c>
      <c r="N796" s="15" t="inlineStr">
        <is>
          <t>Life skill: We Should Protect Animals</t>
        </is>
      </c>
      <c r="O796" s="15" t="inlineStr">
        <is>
          <t>Yes</t>
        </is>
      </c>
      <c r="P796" s="15" t="inlineStr">
        <is>
          <t>P3</t>
        </is>
      </c>
      <c r="Q796" s="15" t="inlineStr">
        <is>
          <t>Idea</t>
        </is>
      </c>
      <c r="R796" s="48">
        <f>INDEX('Start Here'!$B$10:$B$16,WEEKDAY(C796,2))</f>
        <v/>
      </c>
      <c r="S796" s="48">
        <f>MOD(R796+'Start Here'!$B$6/24,1)</f>
        <v/>
      </c>
      <c r="T796" s="15" t="n"/>
      <c r="U796" s="15" t="n"/>
      <c r="V796" s="15" t="n"/>
      <c r="W796" s="15" t="n"/>
      <c r="X796" s="20" t="n"/>
      <c r="Y796" s="15" t="n"/>
    </row>
    <row r="797">
      <c r="A797" s="15" t="n">
        <v>796</v>
      </c>
      <c r="B797" s="16">
        <f>INT((A797-1)/7)+1</f>
        <v/>
      </c>
      <c r="C797" s="47">
        <f>'Start Here'!$B$5+A797-1</f>
        <v/>
      </c>
      <c r="D797" s="16">
        <f>TEXT(C797,"ddd")</f>
        <v/>
      </c>
      <c r="E797" s="15" t="inlineStr">
        <is>
          <t>Story Season</t>
        </is>
      </c>
      <c r="F797" s="27" t="inlineStr">
        <is>
          <t>📚 Moral Stories</t>
        </is>
      </c>
      <c r="G797" s="15" t="n">
        <v>98</v>
      </c>
      <c r="H797" s="15" t="inlineStr">
        <is>
          <t>The Biggest Lesson</t>
        </is>
      </c>
      <c r="I797" s="15" t="inlineStr">
        <is>
          <t>The Biggest Lesson 📚 | Moral Stories for Kids | Tiny Sparks</t>
        </is>
      </c>
      <c r="J797" s="15" t="inlineStr">
        <is>
          <t>3–5</t>
        </is>
      </c>
      <c r="K797" s="15" t="inlineStr">
        <is>
          <t>Long 16:9 + Short teaser</t>
        </is>
      </c>
      <c r="L797" s="15" t="inlineStr">
        <is>
          <t>3–5 min (Short: 50 s)</t>
        </is>
      </c>
      <c r="M797" s="15" t="inlineStr">
        <is>
          <t>narrator + guest animals / Mila &amp; Leo</t>
        </is>
      </c>
      <c r="N797" s="15" t="inlineStr">
        <is>
          <t>Value: kindness</t>
        </is>
      </c>
      <c r="O797" s="15" t="inlineStr">
        <is>
          <t>Yes</t>
        </is>
      </c>
      <c r="P797" s="15" t="inlineStr">
        <is>
          <t>P3</t>
        </is>
      </c>
      <c r="Q797" s="15" t="inlineStr">
        <is>
          <t>Idea</t>
        </is>
      </c>
      <c r="R797" s="48">
        <f>INDEX('Start Here'!$B$10:$B$16,WEEKDAY(C797,2))</f>
        <v/>
      </c>
      <c r="S797" s="48">
        <f>MOD(R797+'Start Here'!$B$6/24,1)</f>
        <v/>
      </c>
      <c r="T797" s="15" t="n"/>
      <c r="U797" s="15" t="n"/>
      <c r="V797" s="15" t="n"/>
      <c r="W797" s="15" t="n"/>
      <c r="X797" s="20" t="n"/>
      <c r="Y797" s="15" t="n"/>
    </row>
    <row r="798">
      <c r="A798" s="15" t="n">
        <v>797</v>
      </c>
      <c r="B798" s="16">
        <f>INT((A798-1)/7)+1</f>
        <v/>
      </c>
      <c r="C798" s="47">
        <f>'Start Here'!$B$5+A798-1</f>
        <v/>
      </c>
      <c r="D798" s="16">
        <f>TEXT(C798,"ddd")</f>
        <v/>
      </c>
      <c r="E798" s="15" t="inlineStr">
        <is>
          <t>Story Season</t>
        </is>
      </c>
      <c r="F798" s="18" t="inlineStr">
        <is>
          <t>🧠 Educational Stories</t>
        </is>
      </c>
      <c r="G798" s="15" t="n">
        <v>99</v>
      </c>
      <c r="H798" s="15" t="inlineStr">
        <is>
          <t>The Great School Science Fair</t>
        </is>
      </c>
      <c r="I798" s="15" t="inlineStr">
        <is>
          <t>The Great School Science Fair 🧠 | Kids Stories | Tiny Sparks</t>
        </is>
      </c>
      <c r="J798" s="15" t="inlineStr">
        <is>
          <t>6–8</t>
        </is>
      </c>
      <c r="K798" s="15" t="inlineStr">
        <is>
          <t>Long 16:9 + Short teaser</t>
        </is>
      </c>
      <c r="L798" s="15" t="inlineStr">
        <is>
          <t>3–5 min (Short: 50 s)</t>
        </is>
      </c>
      <c r="M798" s="15" t="inlineStr">
        <is>
          <t>Mila, Leo, Bobo + narrator</t>
        </is>
      </c>
      <c r="N798" s="15" t="inlineStr">
        <is>
          <t>Curiosity + problem solving</t>
        </is>
      </c>
      <c r="O798" s="15" t="inlineStr">
        <is>
          <t>Yes</t>
        </is>
      </c>
      <c r="P798" s="15" t="inlineStr">
        <is>
          <t>P3</t>
        </is>
      </c>
      <c r="Q798" s="15" t="inlineStr">
        <is>
          <t>Idea</t>
        </is>
      </c>
      <c r="R798" s="48">
        <f>INDEX('Start Here'!$B$10:$B$16,WEEKDAY(C798,2))</f>
        <v/>
      </c>
      <c r="S798" s="48">
        <f>MOD(R798+'Start Here'!$B$6/24,1)</f>
        <v/>
      </c>
      <c r="T798" s="15" t="n"/>
      <c r="U798" s="15" t="n"/>
      <c r="V798" s="15" t="n"/>
      <c r="W798" s="15" t="n"/>
      <c r="X798" s="20" t="n"/>
      <c r="Y798" s="15" t="n"/>
    </row>
    <row r="799">
      <c r="A799" s="15" t="n">
        <v>798</v>
      </c>
      <c r="B799" s="16">
        <f>INT((A799-1)/7)+1</f>
        <v/>
      </c>
      <c r="C799" s="47">
        <f>'Start Here'!$B$5+A799-1</f>
        <v/>
      </c>
      <c r="D799" s="16">
        <f>TEXT(C799,"ddd")</f>
        <v/>
      </c>
      <c r="E799" s="15" t="inlineStr">
        <is>
          <t>Story Season</t>
        </is>
      </c>
      <c r="F799" s="27" t="inlineStr">
        <is>
          <t>📚 Moral Stories</t>
        </is>
      </c>
      <c r="G799" s="15" t="n">
        <v>99</v>
      </c>
      <c r="H799" s="15" t="inlineStr">
        <is>
          <t>The Kindness Challenge</t>
        </is>
      </c>
      <c r="I799" s="15" t="inlineStr">
        <is>
          <t>The Kindness Challenge 📚 | Moral Stories for Kids | Tiny Sparks</t>
        </is>
      </c>
      <c r="J799" s="15" t="inlineStr">
        <is>
          <t>3–5</t>
        </is>
      </c>
      <c r="K799" s="15" t="inlineStr">
        <is>
          <t>Long 16:9 + Short teaser</t>
        </is>
      </c>
      <c r="L799" s="15" t="inlineStr">
        <is>
          <t>3–5 min (Short: 50 s)</t>
        </is>
      </c>
      <c r="M799" s="15" t="inlineStr">
        <is>
          <t>narrator + guest animals / Mila &amp; Leo</t>
        </is>
      </c>
      <c r="N799" s="15" t="inlineStr">
        <is>
          <t>Value: kindness</t>
        </is>
      </c>
      <c r="O799" s="15" t="inlineStr">
        <is>
          <t>Yes</t>
        </is>
      </c>
      <c r="P799" s="15" t="inlineStr">
        <is>
          <t>P3</t>
        </is>
      </c>
      <c r="Q799" s="15" t="inlineStr">
        <is>
          <t>Idea</t>
        </is>
      </c>
      <c r="R799" s="48">
        <f>INDEX('Start Here'!$B$10:$B$16,WEEKDAY(C799,2))</f>
        <v/>
      </c>
      <c r="S799" s="48">
        <f>MOD(R799+'Start Here'!$B$6/24,1)</f>
        <v/>
      </c>
      <c r="T799" s="15" t="n"/>
      <c r="U799" s="15" t="n"/>
      <c r="V799" s="15" t="n"/>
      <c r="W799" s="15" t="n"/>
      <c r="X799" s="20" t="n"/>
      <c r="Y799" s="15" t="n"/>
    </row>
    <row r="800">
      <c r="A800" s="15" t="n">
        <v>799</v>
      </c>
      <c r="B800" s="16">
        <f>INT((A800-1)/7)+1</f>
        <v/>
      </c>
      <c r="C800" s="47">
        <f>'Start Here'!$B$5+A800-1</f>
        <v/>
      </c>
      <c r="D800" s="16">
        <f>TEXT(C800,"ddd")</f>
        <v/>
      </c>
      <c r="E800" s="15" t="inlineStr">
        <is>
          <t>Story Season</t>
        </is>
      </c>
      <c r="F800" s="18" t="inlineStr">
        <is>
          <t>🧠 Educational Stories</t>
        </is>
      </c>
      <c r="G800" s="15" t="n">
        <v>100</v>
      </c>
      <c r="H800" s="15" t="inlineStr">
        <is>
          <t>The Kids Who Changed Their Community</t>
        </is>
      </c>
      <c r="I800" s="15" t="inlineStr">
        <is>
          <t>The Kids Who Changed Their Community 🧠 | Kids Stories | Tiny Sparks</t>
        </is>
      </c>
      <c r="J800" s="15" t="inlineStr">
        <is>
          <t>3–5</t>
        </is>
      </c>
      <c r="K800" s="15" t="inlineStr">
        <is>
          <t>Long 16:9 + Short teaser</t>
        </is>
      </c>
      <c r="L800" s="15" t="inlineStr">
        <is>
          <t>3–5 min (Short: 50 s)</t>
        </is>
      </c>
      <c r="M800" s="15" t="inlineStr">
        <is>
          <t>Mila, Leo, Bobo + narrator</t>
        </is>
      </c>
      <c r="N800" s="15" t="inlineStr">
        <is>
          <t>Curiosity + problem solving</t>
        </is>
      </c>
      <c r="O800" s="15" t="inlineStr">
        <is>
          <t>Yes</t>
        </is>
      </c>
      <c r="P800" s="15" t="inlineStr">
        <is>
          <t>P3</t>
        </is>
      </c>
      <c r="Q800" s="15" t="inlineStr">
        <is>
          <t>Idea</t>
        </is>
      </c>
      <c r="R800" s="48">
        <f>INDEX('Start Here'!$B$10:$B$16,WEEKDAY(C800,2))</f>
        <v/>
      </c>
      <c r="S800" s="48">
        <f>MOD(R800+'Start Here'!$B$6/24,1)</f>
        <v/>
      </c>
      <c r="T800" s="15" t="n"/>
      <c r="U800" s="15" t="n"/>
      <c r="V800" s="15" t="n"/>
      <c r="W800" s="15" t="n"/>
      <c r="X800" s="20" t="n"/>
      <c r="Y800" s="15" t="n"/>
    </row>
    <row r="801">
      <c r="A801" s="15" t="n">
        <v>800</v>
      </c>
      <c r="B801" s="16">
        <f>INT((A801-1)/7)+1</f>
        <v/>
      </c>
      <c r="C801" s="47">
        <f>'Start Here'!$B$5+A801-1</f>
        <v/>
      </c>
      <c r="D801" s="16">
        <f>TEXT(C801,"ddd")</f>
        <v/>
      </c>
      <c r="E801" s="15" t="inlineStr">
        <is>
          <t>Story Season</t>
        </is>
      </c>
      <c r="F801" s="27" t="inlineStr">
        <is>
          <t>📚 Moral Stories</t>
        </is>
      </c>
      <c r="G801" s="15" t="n">
        <v>100</v>
      </c>
      <c r="H801" s="15" t="inlineStr">
        <is>
          <t>The Greatest Treasure: Friendship</t>
        </is>
      </c>
      <c r="I801" s="15" t="inlineStr">
        <is>
          <t>The Greatest Treasure: Friendship 📚 | Moral Stories for Kids | Tiny Sparks</t>
        </is>
      </c>
      <c r="J801" s="15" t="inlineStr">
        <is>
          <t>3–5</t>
        </is>
      </c>
      <c r="K801" s="15" t="inlineStr">
        <is>
          <t>Long 16:9 + Short teaser</t>
        </is>
      </c>
      <c r="L801" s="15" t="inlineStr">
        <is>
          <t>3–5 min (Short: 50 s)</t>
        </is>
      </c>
      <c r="M801" s="15" t="inlineStr">
        <is>
          <t>narrator + guest animals / Mila &amp; Leo</t>
        </is>
      </c>
      <c r="N801" s="15" t="inlineStr">
        <is>
          <t>Value: friendship</t>
        </is>
      </c>
      <c r="O801" s="15" t="inlineStr">
        <is>
          <t>Yes</t>
        </is>
      </c>
      <c r="P801" s="15" t="inlineStr">
        <is>
          <t>P3</t>
        </is>
      </c>
      <c r="Q801" s="15" t="inlineStr">
        <is>
          <t>Idea</t>
        </is>
      </c>
      <c r="R801" s="48">
        <f>INDEX('Start Here'!$B$10:$B$16,WEEKDAY(C801,2))</f>
        <v/>
      </c>
      <c r="S801" s="48">
        <f>MOD(R801+'Start Here'!$B$6/24,1)</f>
        <v/>
      </c>
      <c r="T801" s="15" t="n"/>
      <c r="U801" s="15" t="n"/>
      <c r="V801" s="15" t="n"/>
      <c r="W801" s="15" t="n"/>
      <c r="X801" s="20" t="n"/>
      <c r="Y801" s="15" t="n"/>
    </row>
  </sheetData>
  <autoFilter ref="A1:Y801"/>
  <conditionalFormatting sqref="Q2:Q801">
    <cfRule type="expression" priority="1" dxfId="0">
      <formula>$Q2="Scripted"</formula>
    </cfRule>
    <cfRule type="expression" priority="2" dxfId="1">
      <formula>$Q2="Rendered"</formula>
    </cfRule>
    <cfRule type="expression" priority="3" dxfId="2">
      <formula>$Q2="Scheduled"</formula>
    </cfRule>
    <cfRule type="expression" priority="4" dxfId="3">
      <formula>$Q2="Published"</formula>
    </cfRule>
  </conditionalFormatting>
  <conditionalFormatting sqref="A2:E801">
    <cfRule type="expression" priority="5" dxfId="4">
      <formula>$C2=TODAY()</formula>
    </cfRule>
  </conditionalFormatting>
  <dataValidations count="1">
    <dataValidation sqref="Q2:Q801" showDropDown="0" showInputMessage="0" showErrorMessage="0" allowBlank="1" type="list">
      <formula1>"Idea,Scripted,Rendered,Scheduled,Published"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5" customWidth="1" min="9" max="9"/>
    <col width="15" customWidth="1" min="10" max="10"/>
    <col width="14" customWidth="1" min="11" max="11"/>
  </cols>
  <sheetData>
    <row r="1">
      <c r="A1" s="3" t="inlineStr">
        <is>
          <t>Niche</t>
        </is>
      </c>
      <c r="B1" s="3" t="inlineStr">
        <is>
          <t>Skill</t>
        </is>
      </c>
      <c r="C1" s="3" t="inlineStr">
        <is>
          <t>Videos</t>
        </is>
      </c>
      <c r="D1" s="3" t="inlineStr">
        <is>
          <t>Scripted</t>
        </is>
      </c>
      <c r="E1" s="3" t="inlineStr">
        <is>
          <t>Rendered</t>
        </is>
      </c>
      <c r="F1" s="3" t="inlineStr">
        <is>
          <t>Scheduled</t>
        </is>
      </c>
      <c r="G1" s="3" t="inlineStr">
        <is>
          <t>Published</t>
        </is>
      </c>
      <c r="H1" s="3" t="inlineStr">
        <is>
          <t>% published</t>
        </is>
      </c>
      <c r="I1" s="3" t="inlineStr">
        <is>
          <t>First post</t>
        </is>
      </c>
      <c r="J1" s="3" t="inlineStr">
        <is>
          <t>Last post</t>
        </is>
      </c>
      <c r="K1" s="3" t="inlineStr">
        <is>
          <t>Need new species</t>
        </is>
      </c>
    </row>
    <row r="2">
      <c r="A2" s="28" t="inlineStr">
        <is>
          <t>🧠 Educational Stories</t>
        </is>
      </c>
      <c r="B2" s="16" t="inlineStr">
        <is>
          <t>kids-stories</t>
        </is>
      </c>
      <c r="C2" s="16">
        <f>COUNTIFS(Calendar!$F$2:$F$801,$A2)</f>
        <v/>
      </c>
      <c r="D2" s="16">
        <f>COUNTIFS(Calendar!$F$2:$F$801,$A2,Calendar!$Q$2:$Q$801,"Scripted")</f>
        <v/>
      </c>
      <c r="E2" s="16">
        <f>COUNTIFS(Calendar!$F$2:$F$801,$A2,Calendar!$Q$2:$Q$801,"Rendered")</f>
        <v/>
      </c>
      <c r="F2" s="16">
        <f>COUNTIFS(Calendar!$F$2:$F$801,$A2,Calendar!$Q$2:$Q$801,"Scheduled")</f>
        <v/>
      </c>
      <c r="G2" s="16">
        <f>COUNTIFS(Calendar!$F$2:$F$801,$A2,Calendar!$Q$2:$Q$801,"Published")</f>
        <v/>
      </c>
      <c r="H2" s="29">
        <f>IF(C2=0,0,G2/C2)</f>
        <v/>
      </c>
      <c r="I2" s="49">
        <f>_xlfn.MINIFS(Calendar!$C$2:$C$801,Calendar!$F$2:$F$801,$A2)</f>
        <v/>
      </c>
      <c r="J2" s="49">
        <f>_xlfn.MAXIFS(Calendar!$C$2:$C$801,Calendar!$F$2:$F$801,$A2)</f>
        <v/>
      </c>
      <c r="K2" s="16">
        <f>COUNTIFS(Calendar!$F$2:$F$801,$A2,Calendar!$O$2:$O$801,"Build first*")</f>
        <v/>
      </c>
    </row>
    <row r="3">
      <c r="A3" s="31" t="inlineStr">
        <is>
          <t>🔢 Numbers &amp; Math</t>
        </is>
      </c>
      <c r="B3" s="16" t="inlineStr">
        <is>
          <t>kids-numbers</t>
        </is>
      </c>
      <c r="C3" s="16">
        <f>COUNTIFS(Calendar!$F$2:$F$801,$A3)</f>
        <v/>
      </c>
      <c r="D3" s="16">
        <f>COUNTIFS(Calendar!$F$2:$F$801,$A3,Calendar!$Q$2:$Q$801,"Scripted")</f>
        <v/>
      </c>
      <c r="E3" s="16">
        <f>COUNTIFS(Calendar!$F$2:$F$801,$A3,Calendar!$Q$2:$Q$801,"Rendered")</f>
        <v/>
      </c>
      <c r="F3" s="16">
        <f>COUNTIFS(Calendar!$F$2:$F$801,$A3,Calendar!$Q$2:$Q$801,"Scheduled")</f>
        <v/>
      </c>
      <c r="G3" s="16">
        <f>COUNTIFS(Calendar!$F$2:$F$801,$A3,Calendar!$Q$2:$Q$801,"Published")</f>
        <v/>
      </c>
      <c r="H3" s="29">
        <f>IF(C3=0,0,G3/C3)</f>
        <v/>
      </c>
      <c r="I3" s="49">
        <f>_xlfn.MINIFS(Calendar!$C$2:$C$801,Calendar!$F$2:$F$801,$A3)</f>
        <v/>
      </c>
      <c r="J3" s="49">
        <f>_xlfn.MAXIFS(Calendar!$C$2:$C$801,Calendar!$F$2:$F$801,$A3)</f>
        <v/>
      </c>
      <c r="K3" s="16">
        <f>COUNTIFS(Calendar!$F$2:$F$801,$A3,Calendar!$O$2:$O$801,"Build first*")</f>
        <v/>
      </c>
    </row>
    <row r="4">
      <c r="A4" s="32" t="inlineStr">
        <is>
          <t>🔤 English/French Words</t>
        </is>
      </c>
      <c r="B4" s="16" t="inlineStr">
        <is>
          <t>kids-words</t>
        </is>
      </c>
      <c r="C4" s="16">
        <f>COUNTIFS(Calendar!$F$2:$F$801,$A4)</f>
        <v/>
      </c>
      <c r="D4" s="16">
        <f>COUNTIFS(Calendar!$F$2:$F$801,$A4,Calendar!$Q$2:$Q$801,"Scripted")</f>
        <v/>
      </c>
      <c r="E4" s="16">
        <f>COUNTIFS(Calendar!$F$2:$F$801,$A4,Calendar!$Q$2:$Q$801,"Rendered")</f>
        <v/>
      </c>
      <c r="F4" s="16">
        <f>COUNTIFS(Calendar!$F$2:$F$801,$A4,Calendar!$Q$2:$Q$801,"Scheduled")</f>
        <v/>
      </c>
      <c r="G4" s="16">
        <f>COUNTIFS(Calendar!$F$2:$F$801,$A4,Calendar!$Q$2:$Q$801,"Published")</f>
        <v/>
      </c>
      <c r="H4" s="29">
        <f>IF(C4=0,0,G4/C4)</f>
        <v/>
      </c>
      <c r="I4" s="49">
        <f>_xlfn.MINIFS(Calendar!$C$2:$C$801,Calendar!$F$2:$F$801,$A4)</f>
        <v/>
      </c>
      <c r="J4" s="49">
        <f>_xlfn.MAXIFS(Calendar!$C$2:$C$801,Calendar!$F$2:$F$801,$A4)</f>
        <v/>
      </c>
      <c r="K4" s="16">
        <f>COUNTIFS(Calendar!$F$2:$F$801,$A4,Calendar!$O$2:$O$801,"Build first*")</f>
        <v/>
      </c>
    </row>
    <row r="5">
      <c r="A5" s="33" t="inlineStr">
        <is>
          <t>🦁 Animal Stories</t>
        </is>
      </c>
      <c r="B5" s="16" t="inlineStr">
        <is>
          <t>kids-animals</t>
        </is>
      </c>
      <c r="C5" s="16">
        <f>COUNTIFS(Calendar!$F$2:$F$801,$A5)</f>
        <v/>
      </c>
      <c r="D5" s="16">
        <f>COUNTIFS(Calendar!$F$2:$F$801,$A5,Calendar!$Q$2:$Q$801,"Scripted")</f>
        <v/>
      </c>
      <c r="E5" s="16">
        <f>COUNTIFS(Calendar!$F$2:$F$801,$A5,Calendar!$Q$2:$Q$801,"Rendered")</f>
        <v/>
      </c>
      <c r="F5" s="16">
        <f>COUNTIFS(Calendar!$F$2:$F$801,$A5,Calendar!$Q$2:$Q$801,"Scheduled")</f>
        <v/>
      </c>
      <c r="G5" s="16">
        <f>COUNTIFS(Calendar!$F$2:$F$801,$A5,Calendar!$Q$2:$Q$801,"Published")</f>
        <v/>
      </c>
      <c r="H5" s="29">
        <f>IF(C5=0,0,G5/C5)</f>
        <v/>
      </c>
      <c r="I5" s="49">
        <f>_xlfn.MINIFS(Calendar!$C$2:$C$801,Calendar!$F$2:$F$801,$A5)</f>
        <v/>
      </c>
      <c r="J5" s="49">
        <f>_xlfn.MAXIFS(Calendar!$C$2:$C$801,Calendar!$F$2:$F$801,$A5)</f>
        <v/>
      </c>
      <c r="K5" s="16">
        <f>COUNTIFS(Calendar!$F$2:$F$801,$A5,Calendar!$O$2:$O$801,"Build first*")</f>
        <v/>
      </c>
    </row>
    <row r="6">
      <c r="A6" s="34" t="inlineStr">
        <is>
          <t>🚀 Science for Kids</t>
        </is>
      </c>
      <c r="B6" s="16" t="inlineStr">
        <is>
          <t>kids-science</t>
        </is>
      </c>
      <c r="C6" s="16">
        <f>COUNTIFS(Calendar!$F$2:$F$801,$A6)</f>
        <v/>
      </c>
      <c r="D6" s="16">
        <f>COUNTIFS(Calendar!$F$2:$F$801,$A6,Calendar!$Q$2:$Q$801,"Scripted")</f>
        <v/>
      </c>
      <c r="E6" s="16">
        <f>COUNTIFS(Calendar!$F$2:$F$801,$A6,Calendar!$Q$2:$Q$801,"Rendered")</f>
        <v/>
      </c>
      <c r="F6" s="16">
        <f>COUNTIFS(Calendar!$F$2:$F$801,$A6,Calendar!$Q$2:$Q$801,"Scheduled")</f>
        <v/>
      </c>
      <c r="G6" s="16">
        <f>COUNTIFS(Calendar!$F$2:$F$801,$A6,Calendar!$Q$2:$Q$801,"Published")</f>
        <v/>
      </c>
      <c r="H6" s="29">
        <f>IF(C6=0,0,G6/C6)</f>
        <v/>
      </c>
      <c r="I6" s="49">
        <f>_xlfn.MINIFS(Calendar!$C$2:$C$801,Calendar!$F$2:$F$801,$A6)</f>
        <v/>
      </c>
      <c r="J6" s="49">
        <f>_xlfn.MAXIFS(Calendar!$C$2:$C$801,Calendar!$F$2:$F$801,$A6)</f>
        <v/>
      </c>
      <c r="K6" s="16">
        <f>COUNTIFS(Calendar!$F$2:$F$801,$A6,Calendar!$O$2:$O$801,"Build first*")</f>
        <v/>
      </c>
    </row>
    <row r="7">
      <c r="A7" s="35" t="inlineStr">
        <is>
          <t>🧩 Puzzles &amp; Problem-Solving</t>
        </is>
      </c>
      <c r="B7" s="16" t="inlineStr">
        <is>
          <t>kids-puzzles</t>
        </is>
      </c>
      <c r="C7" s="16">
        <f>COUNTIFS(Calendar!$F$2:$F$801,$A7)</f>
        <v/>
      </c>
      <c r="D7" s="16">
        <f>COUNTIFS(Calendar!$F$2:$F$801,$A7,Calendar!$Q$2:$Q$801,"Scripted")</f>
        <v/>
      </c>
      <c r="E7" s="16">
        <f>COUNTIFS(Calendar!$F$2:$F$801,$A7,Calendar!$Q$2:$Q$801,"Rendered")</f>
        <v/>
      </c>
      <c r="F7" s="16">
        <f>COUNTIFS(Calendar!$F$2:$F$801,$A7,Calendar!$Q$2:$Q$801,"Scheduled")</f>
        <v/>
      </c>
      <c r="G7" s="16">
        <f>COUNTIFS(Calendar!$F$2:$F$801,$A7,Calendar!$Q$2:$Q$801,"Published")</f>
        <v/>
      </c>
      <c r="H7" s="29">
        <f>IF(C7=0,0,G7/C7)</f>
        <v/>
      </c>
      <c r="I7" s="49">
        <f>_xlfn.MINIFS(Calendar!$C$2:$C$801,Calendar!$F$2:$F$801,$A7)</f>
        <v/>
      </c>
      <c r="J7" s="49">
        <f>_xlfn.MAXIFS(Calendar!$C$2:$C$801,Calendar!$F$2:$F$801,$A7)</f>
        <v/>
      </c>
      <c r="K7" s="16">
        <f>COUNTIFS(Calendar!$F$2:$F$801,$A7,Calendar!$O$2:$O$801,"Build first*")</f>
        <v/>
      </c>
    </row>
    <row r="8">
      <c r="A8" s="36" t="inlineStr">
        <is>
          <t>📚 Moral Stories</t>
        </is>
      </c>
      <c r="B8" s="16" t="inlineStr">
        <is>
          <t>kids-morals</t>
        </is>
      </c>
      <c r="C8" s="16">
        <f>COUNTIFS(Calendar!$F$2:$F$801,$A8)</f>
        <v/>
      </c>
      <c r="D8" s="16">
        <f>COUNTIFS(Calendar!$F$2:$F$801,$A8,Calendar!$Q$2:$Q$801,"Scripted")</f>
        <v/>
      </c>
      <c r="E8" s="16">
        <f>COUNTIFS(Calendar!$F$2:$F$801,$A8,Calendar!$Q$2:$Q$801,"Rendered")</f>
        <v/>
      </c>
      <c r="F8" s="16">
        <f>COUNTIFS(Calendar!$F$2:$F$801,$A8,Calendar!$Q$2:$Q$801,"Scheduled")</f>
        <v/>
      </c>
      <c r="G8" s="16">
        <f>COUNTIFS(Calendar!$F$2:$F$801,$A8,Calendar!$Q$2:$Q$801,"Published")</f>
        <v/>
      </c>
      <c r="H8" s="29">
        <f>IF(C8=0,0,G8/C8)</f>
        <v/>
      </c>
      <c r="I8" s="49">
        <f>_xlfn.MINIFS(Calendar!$C$2:$C$801,Calendar!$F$2:$F$801,$A8)</f>
        <v/>
      </c>
      <c r="J8" s="49">
        <f>_xlfn.MAXIFS(Calendar!$C$2:$C$801,Calendar!$F$2:$F$801,$A8)</f>
        <v/>
      </c>
      <c r="K8" s="16">
        <f>COUNTIFS(Calendar!$F$2:$F$801,$A8,Calendar!$O$2:$O$801,"Build first*")</f>
        <v/>
      </c>
    </row>
    <row r="9">
      <c r="A9" s="37" t="inlineStr">
        <is>
          <t>🎵 Educational Songs</t>
        </is>
      </c>
      <c r="B9" s="16" t="inlineStr">
        <is>
          <t>kids-songs</t>
        </is>
      </c>
      <c r="C9" s="16">
        <f>COUNTIFS(Calendar!$F$2:$F$801,$A9)</f>
        <v/>
      </c>
      <c r="D9" s="16">
        <f>COUNTIFS(Calendar!$F$2:$F$801,$A9,Calendar!$Q$2:$Q$801,"Scripted")</f>
        <v/>
      </c>
      <c r="E9" s="16">
        <f>COUNTIFS(Calendar!$F$2:$F$801,$A9,Calendar!$Q$2:$Q$801,"Rendered")</f>
        <v/>
      </c>
      <c r="F9" s="16">
        <f>COUNTIFS(Calendar!$F$2:$F$801,$A9,Calendar!$Q$2:$Q$801,"Scheduled")</f>
        <v/>
      </c>
      <c r="G9" s="16">
        <f>COUNTIFS(Calendar!$F$2:$F$801,$A9,Calendar!$Q$2:$Q$801,"Published")</f>
        <v/>
      </c>
      <c r="H9" s="29">
        <f>IF(C9=0,0,G9/C9)</f>
        <v/>
      </c>
      <c r="I9" s="49">
        <f>_xlfn.MINIFS(Calendar!$C$2:$C$801,Calendar!$F$2:$F$801,$A9)</f>
        <v/>
      </c>
      <c r="J9" s="49">
        <f>_xlfn.MAXIFS(Calendar!$C$2:$C$801,Calendar!$F$2:$F$801,$A9)</f>
        <v/>
      </c>
      <c r="K9" s="16">
        <f>COUNTIFS(Calendar!$F$2:$F$801,$A9,Calendar!$O$2:$O$801,"Build first*")</f>
        <v/>
      </c>
    </row>
    <row r="10">
      <c r="A10" s="7" t="inlineStr">
        <is>
          <t>Total</t>
        </is>
      </c>
      <c r="C10" s="7">
        <f>SUM(C2:C9)</f>
        <v/>
      </c>
      <c r="D10" s="7">
        <f>SUM(D2:D9)</f>
        <v/>
      </c>
      <c r="E10" s="7">
        <f>SUM(E2:E9)</f>
        <v/>
      </c>
      <c r="F10" s="7">
        <f>SUM(F2:F9)</f>
        <v/>
      </c>
      <c r="G10" s="7">
        <f>SUM(G2:G9)</f>
        <v/>
      </c>
      <c r="H10" s="38">
        <f>IF(C10=0,0,G10/C10)</f>
        <v/>
      </c>
      <c r="K10" s="7">
        <f>SUM(K2:K9)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10" customWidth="1" min="4" max="4"/>
    <col width="14" customWidth="1" min="5" max="5"/>
    <col width="12" customWidth="1" min="6" max="6"/>
    <col width="13" customWidth="1" min="7" max="7"/>
  </cols>
  <sheetData>
    <row r="1">
      <c r="A1" s="3" t="inlineStr">
        <is>
          <t>Week</t>
        </is>
      </c>
      <c r="B1" s="3" t="inlineStr">
        <is>
          <t>Week starts</t>
        </is>
      </c>
      <c r="C1" s="3" t="inlineStr">
        <is>
          <t>Planned</t>
        </is>
      </c>
      <c r="D1" s="3" t="inlineStr">
        <is>
          <t>Published</t>
        </is>
      </c>
      <c r="E1" s="3" t="inlineStr">
        <is>
          <t>Views (7 days)</t>
        </is>
      </c>
      <c r="F1" s="3" t="inlineStr">
        <is>
          <t>Subs gained</t>
        </is>
      </c>
      <c r="G1" s="3" t="inlineStr">
        <is>
          <t>Avg % viewed</t>
        </is>
      </c>
    </row>
    <row r="2">
      <c r="A2" s="16" t="n">
        <v>1</v>
      </c>
      <c r="B2" s="47">
        <f>'Start Here'!$B$5+0</f>
        <v/>
      </c>
      <c r="C2" s="16">
        <f>COUNTIFS(Calendar!$B$2:$B$801,$A2)</f>
        <v/>
      </c>
      <c r="D2" s="16">
        <f>COUNTIFS(Calendar!$B$2:$B$801,$A2,Calendar!$Q$2:$Q$801,"Published")</f>
        <v/>
      </c>
      <c r="E2" s="50">
        <f>SUMIFS(Calendar!$V$2:$V$801,Calendar!$B$2:$B$801,$A2)</f>
        <v/>
      </c>
      <c r="F2" s="50">
        <f>SUMIFS(Calendar!$W$2:$W$801,Calendar!$B$2:$B$801,$A2)</f>
        <v/>
      </c>
      <c r="G2" s="51">
        <f>IFERROR(AVERAGEIFS(Calendar!$X$2:$X$801,Calendar!$B$2:$B$801,$A2,Calendar!$X$2:$X$801,"&gt;0"),0)</f>
        <v/>
      </c>
    </row>
    <row r="3">
      <c r="A3" s="16" t="n">
        <v>2</v>
      </c>
      <c r="B3" s="47">
        <f>'Start Here'!$B$5+7</f>
        <v/>
      </c>
      <c r="C3" s="16">
        <f>COUNTIFS(Calendar!$B$2:$B$801,$A3)</f>
        <v/>
      </c>
      <c r="D3" s="16">
        <f>COUNTIFS(Calendar!$B$2:$B$801,$A3,Calendar!$Q$2:$Q$801,"Published")</f>
        <v/>
      </c>
      <c r="E3" s="50">
        <f>SUMIFS(Calendar!$V$2:$V$801,Calendar!$B$2:$B$801,$A3)</f>
        <v/>
      </c>
      <c r="F3" s="50">
        <f>SUMIFS(Calendar!$W$2:$W$801,Calendar!$B$2:$B$801,$A3)</f>
        <v/>
      </c>
      <c r="G3" s="51">
        <f>IFERROR(AVERAGEIFS(Calendar!$X$2:$X$801,Calendar!$B$2:$B$801,$A3,Calendar!$X$2:$X$801,"&gt;0"),0)</f>
        <v/>
      </c>
    </row>
    <row r="4">
      <c r="A4" s="16" t="n">
        <v>3</v>
      </c>
      <c r="B4" s="47">
        <f>'Start Here'!$B$5+14</f>
        <v/>
      </c>
      <c r="C4" s="16">
        <f>COUNTIFS(Calendar!$B$2:$B$801,$A4)</f>
        <v/>
      </c>
      <c r="D4" s="16">
        <f>COUNTIFS(Calendar!$B$2:$B$801,$A4,Calendar!$Q$2:$Q$801,"Published")</f>
        <v/>
      </c>
      <c r="E4" s="50">
        <f>SUMIFS(Calendar!$V$2:$V$801,Calendar!$B$2:$B$801,$A4)</f>
        <v/>
      </c>
      <c r="F4" s="50">
        <f>SUMIFS(Calendar!$W$2:$W$801,Calendar!$B$2:$B$801,$A4)</f>
        <v/>
      </c>
      <c r="G4" s="51">
        <f>IFERROR(AVERAGEIFS(Calendar!$X$2:$X$801,Calendar!$B$2:$B$801,$A4,Calendar!$X$2:$X$801,"&gt;0"),0)</f>
        <v/>
      </c>
    </row>
    <row r="5">
      <c r="A5" s="16" t="n">
        <v>4</v>
      </c>
      <c r="B5" s="47">
        <f>'Start Here'!$B$5+21</f>
        <v/>
      </c>
      <c r="C5" s="16">
        <f>COUNTIFS(Calendar!$B$2:$B$801,$A5)</f>
        <v/>
      </c>
      <c r="D5" s="16">
        <f>COUNTIFS(Calendar!$B$2:$B$801,$A5,Calendar!$Q$2:$Q$801,"Published")</f>
        <v/>
      </c>
      <c r="E5" s="50">
        <f>SUMIFS(Calendar!$V$2:$V$801,Calendar!$B$2:$B$801,$A5)</f>
        <v/>
      </c>
      <c r="F5" s="50">
        <f>SUMIFS(Calendar!$W$2:$W$801,Calendar!$B$2:$B$801,$A5)</f>
        <v/>
      </c>
      <c r="G5" s="51">
        <f>IFERROR(AVERAGEIFS(Calendar!$X$2:$X$801,Calendar!$B$2:$B$801,$A5,Calendar!$X$2:$X$801,"&gt;0"),0)</f>
        <v/>
      </c>
    </row>
    <row r="6">
      <c r="A6" s="16" t="n">
        <v>5</v>
      </c>
      <c r="B6" s="47">
        <f>'Start Here'!$B$5+28</f>
        <v/>
      </c>
      <c r="C6" s="16">
        <f>COUNTIFS(Calendar!$B$2:$B$801,$A6)</f>
        <v/>
      </c>
      <c r="D6" s="16">
        <f>COUNTIFS(Calendar!$B$2:$B$801,$A6,Calendar!$Q$2:$Q$801,"Published")</f>
        <v/>
      </c>
      <c r="E6" s="50">
        <f>SUMIFS(Calendar!$V$2:$V$801,Calendar!$B$2:$B$801,$A6)</f>
        <v/>
      </c>
      <c r="F6" s="50">
        <f>SUMIFS(Calendar!$W$2:$W$801,Calendar!$B$2:$B$801,$A6)</f>
        <v/>
      </c>
      <c r="G6" s="51">
        <f>IFERROR(AVERAGEIFS(Calendar!$X$2:$X$801,Calendar!$B$2:$B$801,$A6,Calendar!$X$2:$X$801,"&gt;0"),0)</f>
        <v/>
      </c>
    </row>
    <row r="7">
      <c r="A7" s="16" t="n">
        <v>6</v>
      </c>
      <c r="B7" s="47">
        <f>'Start Here'!$B$5+35</f>
        <v/>
      </c>
      <c r="C7" s="16">
        <f>COUNTIFS(Calendar!$B$2:$B$801,$A7)</f>
        <v/>
      </c>
      <c r="D7" s="16">
        <f>COUNTIFS(Calendar!$B$2:$B$801,$A7,Calendar!$Q$2:$Q$801,"Published")</f>
        <v/>
      </c>
      <c r="E7" s="50">
        <f>SUMIFS(Calendar!$V$2:$V$801,Calendar!$B$2:$B$801,$A7)</f>
        <v/>
      </c>
      <c r="F7" s="50">
        <f>SUMIFS(Calendar!$W$2:$W$801,Calendar!$B$2:$B$801,$A7)</f>
        <v/>
      </c>
      <c r="G7" s="51">
        <f>IFERROR(AVERAGEIFS(Calendar!$X$2:$X$801,Calendar!$B$2:$B$801,$A7,Calendar!$X$2:$X$801,"&gt;0"),0)</f>
        <v/>
      </c>
    </row>
    <row r="8">
      <c r="A8" s="16" t="n">
        <v>7</v>
      </c>
      <c r="B8" s="47">
        <f>'Start Here'!$B$5+42</f>
        <v/>
      </c>
      <c r="C8" s="16">
        <f>COUNTIFS(Calendar!$B$2:$B$801,$A8)</f>
        <v/>
      </c>
      <c r="D8" s="16">
        <f>COUNTIFS(Calendar!$B$2:$B$801,$A8,Calendar!$Q$2:$Q$801,"Published")</f>
        <v/>
      </c>
      <c r="E8" s="50">
        <f>SUMIFS(Calendar!$V$2:$V$801,Calendar!$B$2:$B$801,$A8)</f>
        <v/>
      </c>
      <c r="F8" s="50">
        <f>SUMIFS(Calendar!$W$2:$W$801,Calendar!$B$2:$B$801,$A8)</f>
        <v/>
      </c>
      <c r="G8" s="51">
        <f>IFERROR(AVERAGEIFS(Calendar!$X$2:$X$801,Calendar!$B$2:$B$801,$A8,Calendar!$X$2:$X$801,"&gt;0"),0)</f>
        <v/>
      </c>
    </row>
    <row r="9">
      <c r="A9" s="16" t="n">
        <v>8</v>
      </c>
      <c r="B9" s="47">
        <f>'Start Here'!$B$5+49</f>
        <v/>
      </c>
      <c r="C9" s="16">
        <f>COUNTIFS(Calendar!$B$2:$B$801,$A9)</f>
        <v/>
      </c>
      <c r="D9" s="16">
        <f>COUNTIFS(Calendar!$B$2:$B$801,$A9,Calendar!$Q$2:$Q$801,"Published")</f>
        <v/>
      </c>
      <c r="E9" s="50">
        <f>SUMIFS(Calendar!$V$2:$V$801,Calendar!$B$2:$B$801,$A9)</f>
        <v/>
      </c>
      <c r="F9" s="50">
        <f>SUMIFS(Calendar!$W$2:$W$801,Calendar!$B$2:$B$801,$A9)</f>
        <v/>
      </c>
      <c r="G9" s="51">
        <f>IFERROR(AVERAGEIFS(Calendar!$X$2:$X$801,Calendar!$B$2:$B$801,$A9,Calendar!$X$2:$X$801,"&gt;0"),0)</f>
        <v/>
      </c>
    </row>
    <row r="10">
      <c r="A10" s="16" t="n">
        <v>9</v>
      </c>
      <c r="B10" s="47">
        <f>'Start Here'!$B$5+56</f>
        <v/>
      </c>
      <c r="C10" s="16">
        <f>COUNTIFS(Calendar!$B$2:$B$801,$A10)</f>
        <v/>
      </c>
      <c r="D10" s="16">
        <f>COUNTIFS(Calendar!$B$2:$B$801,$A10,Calendar!$Q$2:$Q$801,"Published")</f>
        <v/>
      </c>
      <c r="E10" s="50">
        <f>SUMIFS(Calendar!$V$2:$V$801,Calendar!$B$2:$B$801,$A10)</f>
        <v/>
      </c>
      <c r="F10" s="50">
        <f>SUMIFS(Calendar!$W$2:$W$801,Calendar!$B$2:$B$801,$A10)</f>
        <v/>
      </c>
      <c r="G10" s="51">
        <f>IFERROR(AVERAGEIFS(Calendar!$X$2:$X$801,Calendar!$B$2:$B$801,$A10,Calendar!$X$2:$X$801,"&gt;0"),0)</f>
        <v/>
      </c>
    </row>
    <row r="11">
      <c r="A11" s="16" t="n">
        <v>10</v>
      </c>
      <c r="B11" s="47">
        <f>'Start Here'!$B$5+63</f>
        <v/>
      </c>
      <c r="C11" s="16">
        <f>COUNTIFS(Calendar!$B$2:$B$801,$A11)</f>
        <v/>
      </c>
      <c r="D11" s="16">
        <f>COUNTIFS(Calendar!$B$2:$B$801,$A11,Calendar!$Q$2:$Q$801,"Published")</f>
        <v/>
      </c>
      <c r="E11" s="50">
        <f>SUMIFS(Calendar!$V$2:$V$801,Calendar!$B$2:$B$801,$A11)</f>
        <v/>
      </c>
      <c r="F11" s="50">
        <f>SUMIFS(Calendar!$W$2:$W$801,Calendar!$B$2:$B$801,$A11)</f>
        <v/>
      </c>
      <c r="G11" s="51">
        <f>IFERROR(AVERAGEIFS(Calendar!$X$2:$X$801,Calendar!$B$2:$B$801,$A11,Calendar!$X$2:$X$801,"&gt;0"),0)</f>
        <v/>
      </c>
    </row>
    <row r="12">
      <c r="A12" s="16" t="n">
        <v>11</v>
      </c>
      <c r="B12" s="47">
        <f>'Start Here'!$B$5+70</f>
        <v/>
      </c>
      <c r="C12" s="16">
        <f>COUNTIFS(Calendar!$B$2:$B$801,$A12)</f>
        <v/>
      </c>
      <c r="D12" s="16">
        <f>COUNTIFS(Calendar!$B$2:$B$801,$A12,Calendar!$Q$2:$Q$801,"Published")</f>
        <v/>
      </c>
      <c r="E12" s="50">
        <f>SUMIFS(Calendar!$V$2:$V$801,Calendar!$B$2:$B$801,$A12)</f>
        <v/>
      </c>
      <c r="F12" s="50">
        <f>SUMIFS(Calendar!$W$2:$W$801,Calendar!$B$2:$B$801,$A12)</f>
        <v/>
      </c>
      <c r="G12" s="51">
        <f>IFERROR(AVERAGEIFS(Calendar!$X$2:$X$801,Calendar!$B$2:$B$801,$A12,Calendar!$X$2:$X$801,"&gt;0"),0)</f>
        <v/>
      </c>
    </row>
    <row r="13">
      <c r="A13" s="16" t="n">
        <v>12</v>
      </c>
      <c r="B13" s="47">
        <f>'Start Here'!$B$5+77</f>
        <v/>
      </c>
      <c r="C13" s="16">
        <f>COUNTIFS(Calendar!$B$2:$B$801,$A13)</f>
        <v/>
      </c>
      <c r="D13" s="16">
        <f>COUNTIFS(Calendar!$B$2:$B$801,$A13,Calendar!$Q$2:$Q$801,"Published")</f>
        <v/>
      </c>
      <c r="E13" s="50">
        <f>SUMIFS(Calendar!$V$2:$V$801,Calendar!$B$2:$B$801,$A13)</f>
        <v/>
      </c>
      <c r="F13" s="50">
        <f>SUMIFS(Calendar!$W$2:$W$801,Calendar!$B$2:$B$801,$A13)</f>
        <v/>
      </c>
      <c r="G13" s="51">
        <f>IFERROR(AVERAGEIFS(Calendar!$X$2:$X$801,Calendar!$B$2:$B$801,$A13,Calendar!$X$2:$X$801,"&gt;0"),0)</f>
        <v/>
      </c>
    </row>
    <row r="14">
      <c r="A14" s="16" t="n">
        <v>13</v>
      </c>
      <c r="B14" s="47">
        <f>'Start Here'!$B$5+84</f>
        <v/>
      </c>
      <c r="C14" s="16">
        <f>COUNTIFS(Calendar!$B$2:$B$801,$A14)</f>
        <v/>
      </c>
      <c r="D14" s="16">
        <f>COUNTIFS(Calendar!$B$2:$B$801,$A14,Calendar!$Q$2:$Q$801,"Published")</f>
        <v/>
      </c>
      <c r="E14" s="50">
        <f>SUMIFS(Calendar!$V$2:$V$801,Calendar!$B$2:$B$801,$A14)</f>
        <v/>
      </c>
      <c r="F14" s="50">
        <f>SUMIFS(Calendar!$W$2:$W$801,Calendar!$B$2:$B$801,$A14)</f>
        <v/>
      </c>
      <c r="G14" s="51">
        <f>IFERROR(AVERAGEIFS(Calendar!$X$2:$X$801,Calendar!$B$2:$B$801,$A14,Calendar!$X$2:$X$801,"&gt;0"),0)</f>
        <v/>
      </c>
    </row>
    <row r="15">
      <c r="A15" s="16" t="n">
        <v>14</v>
      </c>
      <c r="B15" s="47">
        <f>'Start Here'!$B$5+91</f>
        <v/>
      </c>
      <c r="C15" s="16">
        <f>COUNTIFS(Calendar!$B$2:$B$801,$A15)</f>
        <v/>
      </c>
      <c r="D15" s="16">
        <f>COUNTIFS(Calendar!$B$2:$B$801,$A15,Calendar!$Q$2:$Q$801,"Published")</f>
        <v/>
      </c>
      <c r="E15" s="50">
        <f>SUMIFS(Calendar!$V$2:$V$801,Calendar!$B$2:$B$801,$A15)</f>
        <v/>
      </c>
      <c r="F15" s="50">
        <f>SUMIFS(Calendar!$W$2:$W$801,Calendar!$B$2:$B$801,$A15)</f>
        <v/>
      </c>
      <c r="G15" s="51">
        <f>IFERROR(AVERAGEIFS(Calendar!$X$2:$X$801,Calendar!$B$2:$B$801,$A15,Calendar!$X$2:$X$801,"&gt;0"),0)</f>
        <v/>
      </c>
    </row>
    <row r="16">
      <c r="A16" s="16" t="n">
        <v>15</v>
      </c>
      <c r="B16" s="47">
        <f>'Start Here'!$B$5+98</f>
        <v/>
      </c>
      <c r="C16" s="16">
        <f>COUNTIFS(Calendar!$B$2:$B$801,$A16)</f>
        <v/>
      </c>
      <c r="D16" s="16">
        <f>COUNTIFS(Calendar!$B$2:$B$801,$A16,Calendar!$Q$2:$Q$801,"Published")</f>
        <v/>
      </c>
      <c r="E16" s="50">
        <f>SUMIFS(Calendar!$V$2:$V$801,Calendar!$B$2:$B$801,$A16)</f>
        <v/>
      </c>
      <c r="F16" s="50">
        <f>SUMIFS(Calendar!$W$2:$W$801,Calendar!$B$2:$B$801,$A16)</f>
        <v/>
      </c>
      <c r="G16" s="51">
        <f>IFERROR(AVERAGEIFS(Calendar!$X$2:$X$801,Calendar!$B$2:$B$801,$A16,Calendar!$X$2:$X$801,"&gt;0"),0)</f>
        <v/>
      </c>
    </row>
    <row r="17">
      <c r="A17" s="16" t="n">
        <v>16</v>
      </c>
      <c r="B17" s="47">
        <f>'Start Here'!$B$5+105</f>
        <v/>
      </c>
      <c r="C17" s="16">
        <f>COUNTIFS(Calendar!$B$2:$B$801,$A17)</f>
        <v/>
      </c>
      <c r="D17" s="16">
        <f>COUNTIFS(Calendar!$B$2:$B$801,$A17,Calendar!$Q$2:$Q$801,"Published")</f>
        <v/>
      </c>
      <c r="E17" s="50">
        <f>SUMIFS(Calendar!$V$2:$V$801,Calendar!$B$2:$B$801,$A17)</f>
        <v/>
      </c>
      <c r="F17" s="50">
        <f>SUMIFS(Calendar!$W$2:$W$801,Calendar!$B$2:$B$801,$A17)</f>
        <v/>
      </c>
      <c r="G17" s="51">
        <f>IFERROR(AVERAGEIFS(Calendar!$X$2:$X$801,Calendar!$B$2:$B$801,$A17,Calendar!$X$2:$X$801,"&gt;0"),0)</f>
        <v/>
      </c>
    </row>
    <row r="18">
      <c r="A18" s="16" t="n">
        <v>17</v>
      </c>
      <c r="B18" s="47">
        <f>'Start Here'!$B$5+112</f>
        <v/>
      </c>
      <c r="C18" s="16">
        <f>COUNTIFS(Calendar!$B$2:$B$801,$A18)</f>
        <v/>
      </c>
      <c r="D18" s="16">
        <f>COUNTIFS(Calendar!$B$2:$B$801,$A18,Calendar!$Q$2:$Q$801,"Published")</f>
        <v/>
      </c>
      <c r="E18" s="50">
        <f>SUMIFS(Calendar!$V$2:$V$801,Calendar!$B$2:$B$801,$A18)</f>
        <v/>
      </c>
      <c r="F18" s="50">
        <f>SUMIFS(Calendar!$W$2:$W$801,Calendar!$B$2:$B$801,$A18)</f>
        <v/>
      </c>
      <c r="G18" s="51">
        <f>IFERROR(AVERAGEIFS(Calendar!$X$2:$X$801,Calendar!$B$2:$B$801,$A18,Calendar!$X$2:$X$801,"&gt;0"),0)</f>
        <v/>
      </c>
    </row>
    <row r="19">
      <c r="A19" s="16" t="n">
        <v>18</v>
      </c>
      <c r="B19" s="47">
        <f>'Start Here'!$B$5+119</f>
        <v/>
      </c>
      <c r="C19" s="16">
        <f>COUNTIFS(Calendar!$B$2:$B$801,$A19)</f>
        <v/>
      </c>
      <c r="D19" s="16">
        <f>COUNTIFS(Calendar!$B$2:$B$801,$A19,Calendar!$Q$2:$Q$801,"Published")</f>
        <v/>
      </c>
      <c r="E19" s="50">
        <f>SUMIFS(Calendar!$V$2:$V$801,Calendar!$B$2:$B$801,$A19)</f>
        <v/>
      </c>
      <c r="F19" s="50">
        <f>SUMIFS(Calendar!$W$2:$W$801,Calendar!$B$2:$B$801,$A19)</f>
        <v/>
      </c>
      <c r="G19" s="51">
        <f>IFERROR(AVERAGEIFS(Calendar!$X$2:$X$801,Calendar!$B$2:$B$801,$A19,Calendar!$X$2:$X$801,"&gt;0"),0)</f>
        <v/>
      </c>
    </row>
    <row r="20">
      <c r="A20" s="16" t="n">
        <v>19</v>
      </c>
      <c r="B20" s="47">
        <f>'Start Here'!$B$5+126</f>
        <v/>
      </c>
      <c r="C20" s="16">
        <f>COUNTIFS(Calendar!$B$2:$B$801,$A20)</f>
        <v/>
      </c>
      <c r="D20" s="16">
        <f>COUNTIFS(Calendar!$B$2:$B$801,$A20,Calendar!$Q$2:$Q$801,"Published")</f>
        <v/>
      </c>
      <c r="E20" s="50">
        <f>SUMIFS(Calendar!$V$2:$V$801,Calendar!$B$2:$B$801,$A20)</f>
        <v/>
      </c>
      <c r="F20" s="50">
        <f>SUMIFS(Calendar!$W$2:$W$801,Calendar!$B$2:$B$801,$A20)</f>
        <v/>
      </c>
      <c r="G20" s="51">
        <f>IFERROR(AVERAGEIFS(Calendar!$X$2:$X$801,Calendar!$B$2:$B$801,$A20,Calendar!$X$2:$X$801,"&gt;0"),0)</f>
        <v/>
      </c>
    </row>
    <row r="21">
      <c r="A21" s="16" t="n">
        <v>20</v>
      </c>
      <c r="B21" s="47">
        <f>'Start Here'!$B$5+133</f>
        <v/>
      </c>
      <c r="C21" s="16">
        <f>COUNTIFS(Calendar!$B$2:$B$801,$A21)</f>
        <v/>
      </c>
      <c r="D21" s="16">
        <f>COUNTIFS(Calendar!$B$2:$B$801,$A21,Calendar!$Q$2:$Q$801,"Published")</f>
        <v/>
      </c>
      <c r="E21" s="50">
        <f>SUMIFS(Calendar!$V$2:$V$801,Calendar!$B$2:$B$801,$A21)</f>
        <v/>
      </c>
      <c r="F21" s="50">
        <f>SUMIFS(Calendar!$W$2:$W$801,Calendar!$B$2:$B$801,$A21)</f>
        <v/>
      </c>
      <c r="G21" s="51">
        <f>IFERROR(AVERAGEIFS(Calendar!$X$2:$X$801,Calendar!$B$2:$B$801,$A21,Calendar!$X$2:$X$801,"&gt;0"),0)</f>
        <v/>
      </c>
    </row>
    <row r="22">
      <c r="A22" s="16" t="n">
        <v>21</v>
      </c>
      <c r="B22" s="47">
        <f>'Start Here'!$B$5+140</f>
        <v/>
      </c>
      <c r="C22" s="16">
        <f>COUNTIFS(Calendar!$B$2:$B$801,$A22)</f>
        <v/>
      </c>
      <c r="D22" s="16">
        <f>COUNTIFS(Calendar!$B$2:$B$801,$A22,Calendar!$Q$2:$Q$801,"Published")</f>
        <v/>
      </c>
      <c r="E22" s="50">
        <f>SUMIFS(Calendar!$V$2:$V$801,Calendar!$B$2:$B$801,$A22)</f>
        <v/>
      </c>
      <c r="F22" s="50">
        <f>SUMIFS(Calendar!$W$2:$W$801,Calendar!$B$2:$B$801,$A22)</f>
        <v/>
      </c>
      <c r="G22" s="51">
        <f>IFERROR(AVERAGEIFS(Calendar!$X$2:$X$801,Calendar!$B$2:$B$801,$A22,Calendar!$X$2:$X$801,"&gt;0"),0)</f>
        <v/>
      </c>
    </row>
    <row r="23">
      <c r="A23" s="16" t="n">
        <v>22</v>
      </c>
      <c r="B23" s="47">
        <f>'Start Here'!$B$5+147</f>
        <v/>
      </c>
      <c r="C23" s="16">
        <f>COUNTIFS(Calendar!$B$2:$B$801,$A23)</f>
        <v/>
      </c>
      <c r="D23" s="16">
        <f>COUNTIFS(Calendar!$B$2:$B$801,$A23,Calendar!$Q$2:$Q$801,"Published")</f>
        <v/>
      </c>
      <c r="E23" s="50">
        <f>SUMIFS(Calendar!$V$2:$V$801,Calendar!$B$2:$B$801,$A23)</f>
        <v/>
      </c>
      <c r="F23" s="50">
        <f>SUMIFS(Calendar!$W$2:$W$801,Calendar!$B$2:$B$801,$A23)</f>
        <v/>
      </c>
      <c r="G23" s="51">
        <f>IFERROR(AVERAGEIFS(Calendar!$X$2:$X$801,Calendar!$B$2:$B$801,$A23,Calendar!$X$2:$X$801,"&gt;0"),0)</f>
        <v/>
      </c>
    </row>
    <row r="24">
      <c r="A24" s="16" t="n">
        <v>23</v>
      </c>
      <c r="B24" s="47">
        <f>'Start Here'!$B$5+154</f>
        <v/>
      </c>
      <c r="C24" s="16">
        <f>COUNTIFS(Calendar!$B$2:$B$801,$A24)</f>
        <v/>
      </c>
      <c r="D24" s="16">
        <f>COUNTIFS(Calendar!$B$2:$B$801,$A24,Calendar!$Q$2:$Q$801,"Published")</f>
        <v/>
      </c>
      <c r="E24" s="50">
        <f>SUMIFS(Calendar!$V$2:$V$801,Calendar!$B$2:$B$801,$A24)</f>
        <v/>
      </c>
      <c r="F24" s="50">
        <f>SUMIFS(Calendar!$W$2:$W$801,Calendar!$B$2:$B$801,$A24)</f>
        <v/>
      </c>
      <c r="G24" s="51">
        <f>IFERROR(AVERAGEIFS(Calendar!$X$2:$X$801,Calendar!$B$2:$B$801,$A24,Calendar!$X$2:$X$801,"&gt;0"),0)</f>
        <v/>
      </c>
    </row>
    <row r="25">
      <c r="A25" s="16" t="n">
        <v>24</v>
      </c>
      <c r="B25" s="47">
        <f>'Start Here'!$B$5+161</f>
        <v/>
      </c>
      <c r="C25" s="16">
        <f>COUNTIFS(Calendar!$B$2:$B$801,$A25)</f>
        <v/>
      </c>
      <c r="D25" s="16">
        <f>COUNTIFS(Calendar!$B$2:$B$801,$A25,Calendar!$Q$2:$Q$801,"Published")</f>
        <v/>
      </c>
      <c r="E25" s="50">
        <f>SUMIFS(Calendar!$V$2:$V$801,Calendar!$B$2:$B$801,$A25)</f>
        <v/>
      </c>
      <c r="F25" s="50">
        <f>SUMIFS(Calendar!$W$2:$W$801,Calendar!$B$2:$B$801,$A25)</f>
        <v/>
      </c>
      <c r="G25" s="51">
        <f>IFERROR(AVERAGEIFS(Calendar!$X$2:$X$801,Calendar!$B$2:$B$801,$A25,Calendar!$X$2:$X$801,"&gt;0"),0)</f>
        <v/>
      </c>
    </row>
    <row r="26">
      <c r="A26" s="16" t="n">
        <v>25</v>
      </c>
      <c r="B26" s="47">
        <f>'Start Here'!$B$5+168</f>
        <v/>
      </c>
      <c r="C26" s="16">
        <f>COUNTIFS(Calendar!$B$2:$B$801,$A26)</f>
        <v/>
      </c>
      <c r="D26" s="16">
        <f>COUNTIFS(Calendar!$B$2:$B$801,$A26,Calendar!$Q$2:$Q$801,"Published")</f>
        <v/>
      </c>
      <c r="E26" s="50">
        <f>SUMIFS(Calendar!$V$2:$V$801,Calendar!$B$2:$B$801,$A26)</f>
        <v/>
      </c>
      <c r="F26" s="50">
        <f>SUMIFS(Calendar!$W$2:$W$801,Calendar!$B$2:$B$801,$A26)</f>
        <v/>
      </c>
      <c r="G26" s="51">
        <f>IFERROR(AVERAGEIFS(Calendar!$X$2:$X$801,Calendar!$B$2:$B$801,$A26,Calendar!$X$2:$X$801,"&gt;0"),0)</f>
        <v/>
      </c>
    </row>
    <row r="27">
      <c r="A27" s="16" t="n">
        <v>26</v>
      </c>
      <c r="B27" s="47">
        <f>'Start Here'!$B$5+175</f>
        <v/>
      </c>
      <c r="C27" s="16">
        <f>COUNTIFS(Calendar!$B$2:$B$801,$A27)</f>
        <v/>
      </c>
      <c r="D27" s="16">
        <f>COUNTIFS(Calendar!$B$2:$B$801,$A27,Calendar!$Q$2:$Q$801,"Published")</f>
        <v/>
      </c>
      <c r="E27" s="50">
        <f>SUMIFS(Calendar!$V$2:$V$801,Calendar!$B$2:$B$801,$A27)</f>
        <v/>
      </c>
      <c r="F27" s="50">
        <f>SUMIFS(Calendar!$W$2:$W$801,Calendar!$B$2:$B$801,$A27)</f>
        <v/>
      </c>
      <c r="G27" s="51">
        <f>IFERROR(AVERAGEIFS(Calendar!$X$2:$X$801,Calendar!$B$2:$B$801,$A27,Calendar!$X$2:$X$801,"&gt;0"),0)</f>
        <v/>
      </c>
    </row>
    <row r="28">
      <c r="A28" s="16" t="n">
        <v>27</v>
      </c>
      <c r="B28" s="47">
        <f>'Start Here'!$B$5+182</f>
        <v/>
      </c>
      <c r="C28" s="16">
        <f>COUNTIFS(Calendar!$B$2:$B$801,$A28)</f>
        <v/>
      </c>
      <c r="D28" s="16">
        <f>COUNTIFS(Calendar!$B$2:$B$801,$A28,Calendar!$Q$2:$Q$801,"Published")</f>
        <v/>
      </c>
      <c r="E28" s="50">
        <f>SUMIFS(Calendar!$V$2:$V$801,Calendar!$B$2:$B$801,$A28)</f>
        <v/>
      </c>
      <c r="F28" s="50">
        <f>SUMIFS(Calendar!$W$2:$W$801,Calendar!$B$2:$B$801,$A28)</f>
        <v/>
      </c>
      <c r="G28" s="51">
        <f>IFERROR(AVERAGEIFS(Calendar!$X$2:$X$801,Calendar!$B$2:$B$801,$A28,Calendar!$X$2:$X$801,"&gt;0"),0)</f>
        <v/>
      </c>
    </row>
    <row r="29">
      <c r="A29" s="16" t="n">
        <v>28</v>
      </c>
      <c r="B29" s="47">
        <f>'Start Here'!$B$5+189</f>
        <v/>
      </c>
      <c r="C29" s="16">
        <f>COUNTIFS(Calendar!$B$2:$B$801,$A29)</f>
        <v/>
      </c>
      <c r="D29" s="16">
        <f>COUNTIFS(Calendar!$B$2:$B$801,$A29,Calendar!$Q$2:$Q$801,"Published")</f>
        <v/>
      </c>
      <c r="E29" s="50">
        <f>SUMIFS(Calendar!$V$2:$V$801,Calendar!$B$2:$B$801,$A29)</f>
        <v/>
      </c>
      <c r="F29" s="50">
        <f>SUMIFS(Calendar!$W$2:$W$801,Calendar!$B$2:$B$801,$A29)</f>
        <v/>
      </c>
      <c r="G29" s="51">
        <f>IFERROR(AVERAGEIFS(Calendar!$X$2:$X$801,Calendar!$B$2:$B$801,$A29,Calendar!$X$2:$X$801,"&gt;0"),0)</f>
        <v/>
      </c>
    </row>
    <row r="30">
      <c r="A30" s="16" t="n">
        <v>29</v>
      </c>
      <c r="B30" s="47">
        <f>'Start Here'!$B$5+196</f>
        <v/>
      </c>
      <c r="C30" s="16">
        <f>COUNTIFS(Calendar!$B$2:$B$801,$A30)</f>
        <v/>
      </c>
      <c r="D30" s="16">
        <f>COUNTIFS(Calendar!$B$2:$B$801,$A30,Calendar!$Q$2:$Q$801,"Published")</f>
        <v/>
      </c>
      <c r="E30" s="50">
        <f>SUMIFS(Calendar!$V$2:$V$801,Calendar!$B$2:$B$801,$A30)</f>
        <v/>
      </c>
      <c r="F30" s="50">
        <f>SUMIFS(Calendar!$W$2:$W$801,Calendar!$B$2:$B$801,$A30)</f>
        <v/>
      </c>
      <c r="G30" s="51">
        <f>IFERROR(AVERAGEIFS(Calendar!$X$2:$X$801,Calendar!$B$2:$B$801,$A30,Calendar!$X$2:$X$801,"&gt;0"),0)</f>
        <v/>
      </c>
    </row>
    <row r="31">
      <c r="A31" s="16" t="n">
        <v>30</v>
      </c>
      <c r="B31" s="47">
        <f>'Start Here'!$B$5+203</f>
        <v/>
      </c>
      <c r="C31" s="16">
        <f>COUNTIFS(Calendar!$B$2:$B$801,$A31)</f>
        <v/>
      </c>
      <c r="D31" s="16">
        <f>COUNTIFS(Calendar!$B$2:$B$801,$A31,Calendar!$Q$2:$Q$801,"Published")</f>
        <v/>
      </c>
      <c r="E31" s="50">
        <f>SUMIFS(Calendar!$V$2:$V$801,Calendar!$B$2:$B$801,$A31)</f>
        <v/>
      </c>
      <c r="F31" s="50">
        <f>SUMIFS(Calendar!$W$2:$W$801,Calendar!$B$2:$B$801,$A31)</f>
        <v/>
      </c>
      <c r="G31" s="51">
        <f>IFERROR(AVERAGEIFS(Calendar!$X$2:$X$801,Calendar!$B$2:$B$801,$A31,Calendar!$X$2:$X$801,"&gt;0"),0)</f>
        <v/>
      </c>
    </row>
    <row r="32">
      <c r="A32" s="16" t="n">
        <v>31</v>
      </c>
      <c r="B32" s="47">
        <f>'Start Here'!$B$5+210</f>
        <v/>
      </c>
      <c r="C32" s="16">
        <f>COUNTIFS(Calendar!$B$2:$B$801,$A32)</f>
        <v/>
      </c>
      <c r="D32" s="16">
        <f>COUNTIFS(Calendar!$B$2:$B$801,$A32,Calendar!$Q$2:$Q$801,"Published")</f>
        <v/>
      </c>
      <c r="E32" s="50">
        <f>SUMIFS(Calendar!$V$2:$V$801,Calendar!$B$2:$B$801,$A32)</f>
        <v/>
      </c>
      <c r="F32" s="50">
        <f>SUMIFS(Calendar!$W$2:$W$801,Calendar!$B$2:$B$801,$A32)</f>
        <v/>
      </c>
      <c r="G32" s="51">
        <f>IFERROR(AVERAGEIFS(Calendar!$X$2:$X$801,Calendar!$B$2:$B$801,$A32,Calendar!$X$2:$X$801,"&gt;0"),0)</f>
        <v/>
      </c>
    </row>
    <row r="33">
      <c r="A33" s="16" t="n">
        <v>32</v>
      </c>
      <c r="B33" s="47">
        <f>'Start Here'!$B$5+217</f>
        <v/>
      </c>
      <c r="C33" s="16">
        <f>COUNTIFS(Calendar!$B$2:$B$801,$A33)</f>
        <v/>
      </c>
      <c r="D33" s="16">
        <f>COUNTIFS(Calendar!$B$2:$B$801,$A33,Calendar!$Q$2:$Q$801,"Published")</f>
        <v/>
      </c>
      <c r="E33" s="50">
        <f>SUMIFS(Calendar!$V$2:$V$801,Calendar!$B$2:$B$801,$A33)</f>
        <v/>
      </c>
      <c r="F33" s="50">
        <f>SUMIFS(Calendar!$W$2:$W$801,Calendar!$B$2:$B$801,$A33)</f>
        <v/>
      </c>
      <c r="G33" s="51">
        <f>IFERROR(AVERAGEIFS(Calendar!$X$2:$X$801,Calendar!$B$2:$B$801,$A33,Calendar!$X$2:$X$801,"&gt;0"),0)</f>
        <v/>
      </c>
    </row>
    <row r="34">
      <c r="A34" s="16" t="n">
        <v>33</v>
      </c>
      <c r="B34" s="47">
        <f>'Start Here'!$B$5+224</f>
        <v/>
      </c>
      <c r="C34" s="16">
        <f>COUNTIFS(Calendar!$B$2:$B$801,$A34)</f>
        <v/>
      </c>
      <c r="D34" s="16">
        <f>COUNTIFS(Calendar!$B$2:$B$801,$A34,Calendar!$Q$2:$Q$801,"Published")</f>
        <v/>
      </c>
      <c r="E34" s="50">
        <f>SUMIFS(Calendar!$V$2:$V$801,Calendar!$B$2:$B$801,$A34)</f>
        <v/>
      </c>
      <c r="F34" s="50">
        <f>SUMIFS(Calendar!$W$2:$W$801,Calendar!$B$2:$B$801,$A34)</f>
        <v/>
      </c>
      <c r="G34" s="51">
        <f>IFERROR(AVERAGEIFS(Calendar!$X$2:$X$801,Calendar!$B$2:$B$801,$A34,Calendar!$X$2:$X$801,"&gt;0"),0)</f>
        <v/>
      </c>
    </row>
    <row r="35">
      <c r="A35" s="16" t="n">
        <v>34</v>
      </c>
      <c r="B35" s="47">
        <f>'Start Here'!$B$5+231</f>
        <v/>
      </c>
      <c r="C35" s="16">
        <f>COUNTIFS(Calendar!$B$2:$B$801,$A35)</f>
        <v/>
      </c>
      <c r="D35" s="16">
        <f>COUNTIFS(Calendar!$B$2:$B$801,$A35,Calendar!$Q$2:$Q$801,"Published")</f>
        <v/>
      </c>
      <c r="E35" s="50">
        <f>SUMIFS(Calendar!$V$2:$V$801,Calendar!$B$2:$B$801,$A35)</f>
        <v/>
      </c>
      <c r="F35" s="50">
        <f>SUMIFS(Calendar!$W$2:$W$801,Calendar!$B$2:$B$801,$A35)</f>
        <v/>
      </c>
      <c r="G35" s="51">
        <f>IFERROR(AVERAGEIFS(Calendar!$X$2:$X$801,Calendar!$B$2:$B$801,$A35,Calendar!$X$2:$X$801,"&gt;0"),0)</f>
        <v/>
      </c>
    </row>
    <row r="36">
      <c r="A36" s="16" t="n">
        <v>35</v>
      </c>
      <c r="B36" s="47">
        <f>'Start Here'!$B$5+238</f>
        <v/>
      </c>
      <c r="C36" s="16">
        <f>COUNTIFS(Calendar!$B$2:$B$801,$A36)</f>
        <v/>
      </c>
      <c r="D36" s="16">
        <f>COUNTIFS(Calendar!$B$2:$B$801,$A36,Calendar!$Q$2:$Q$801,"Published")</f>
        <v/>
      </c>
      <c r="E36" s="50">
        <f>SUMIFS(Calendar!$V$2:$V$801,Calendar!$B$2:$B$801,$A36)</f>
        <v/>
      </c>
      <c r="F36" s="50">
        <f>SUMIFS(Calendar!$W$2:$W$801,Calendar!$B$2:$B$801,$A36)</f>
        <v/>
      </c>
      <c r="G36" s="51">
        <f>IFERROR(AVERAGEIFS(Calendar!$X$2:$X$801,Calendar!$B$2:$B$801,$A36,Calendar!$X$2:$X$801,"&gt;0"),0)</f>
        <v/>
      </c>
    </row>
    <row r="37">
      <c r="A37" s="16" t="n">
        <v>36</v>
      </c>
      <c r="B37" s="47">
        <f>'Start Here'!$B$5+245</f>
        <v/>
      </c>
      <c r="C37" s="16">
        <f>COUNTIFS(Calendar!$B$2:$B$801,$A37)</f>
        <v/>
      </c>
      <c r="D37" s="16">
        <f>COUNTIFS(Calendar!$B$2:$B$801,$A37,Calendar!$Q$2:$Q$801,"Published")</f>
        <v/>
      </c>
      <c r="E37" s="50">
        <f>SUMIFS(Calendar!$V$2:$V$801,Calendar!$B$2:$B$801,$A37)</f>
        <v/>
      </c>
      <c r="F37" s="50">
        <f>SUMIFS(Calendar!$W$2:$W$801,Calendar!$B$2:$B$801,$A37)</f>
        <v/>
      </c>
      <c r="G37" s="51">
        <f>IFERROR(AVERAGEIFS(Calendar!$X$2:$X$801,Calendar!$B$2:$B$801,$A37,Calendar!$X$2:$X$801,"&gt;0"),0)</f>
        <v/>
      </c>
    </row>
    <row r="38">
      <c r="A38" s="16" t="n">
        <v>37</v>
      </c>
      <c r="B38" s="47">
        <f>'Start Here'!$B$5+252</f>
        <v/>
      </c>
      <c r="C38" s="16">
        <f>COUNTIFS(Calendar!$B$2:$B$801,$A38)</f>
        <v/>
      </c>
      <c r="D38" s="16">
        <f>COUNTIFS(Calendar!$B$2:$B$801,$A38,Calendar!$Q$2:$Q$801,"Published")</f>
        <v/>
      </c>
      <c r="E38" s="50">
        <f>SUMIFS(Calendar!$V$2:$V$801,Calendar!$B$2:$B$801,$A38)</f>
        <v/>
      </c>
      <c r="F38" s="50">
        <f>SUMIFS(Calendar!$W$2:$W$801,Calendar!$B$2:$B$801,$A38)</f>
        <v/>
      </c>
      <c r="G38" s="51">
        <f>IFERROR(AVERAGEIFS(Calendar!$X$2:$X$801,Calendar!$B$2:$B$801,$A38,Calendar!$X$2:$X$801,"&gt;0"),0)</f>
        <v/>
      </c>
    </row>
    <row r="39">
      <c r="A39" s="16" t="n">
        <v>38</v>
      </c>
      <c r="B39" s="47">
        <f>'Start Here'!$B$5+259</f>
        <v/>
      </c>
      <c r="C39" s="16">
        <f>COUNTIFS(Calendar!$B$2:$B$801,$A39)</f>
        <v/>
      </c>
      <c r="D39" s="16">
        <f>COUNTIFS(Calendar!$B$2:$B$801,$A39,Calendar!$Q$2:$Q$801,"Published")</f>
        <v/>
      </c>
      <c r="E39" s="50">
        <f>SUMIFS(Calendar!$V$2:$V$801,Calendar!$B$2:$B$801,$A39)</f>
        <v/>
      </c>
      <c r="F39" s="50">
        <f>SUMIFS(Calendar!$W$2:$W$801,Calendar!$B$2:$B$801,$A39)</f>
        <v/>
      </c>
      <c r="G39" s="51">
        <f>IFERROR(AVERAGEIFS(Calendar!$X$2:$X$801,Calendar!$B$2:$B$801,$A39,Calendar!$X$2:$X$801,"&gt;0"),0)</f>
        <v/>
      </c>
    </row>
    <row r="40">
      <c r="A40" s="16" t="n">
        <v>39</v>
      </c>
      <c r="B40" s="47">
        <f>'Start Here'!$B$5+266</f>
        <v/>
      </c>
      <c r="C40" s="16">
        <f>COUNTIFS(Calendar!$B$2:$B$801,$A40)</f>
        <v/>
      </c>
      <c r="D40" s="16">
        <f>COUNTIFS(Calendar!$B$2:$B$801,$A40,Calendar!$Q$2:$Q$801,"Published")</f>
        <v/>
      </c>
      <c r="E40" s="50">
        <f>SUMIFS(Calendar!$V$2:$V$801,Calendar!$B$2:$B$801,$A40)</f>
        <v/>
      </c>
      <c r="F40" s="50">
        <f>SUMIFS(Calendar!$W$2:$W$801,Calendar!$B$2:$B$801,$A40)</f>
        <v/>
      </c>
      <c r="G40" s="51">
        <f>IFERROR(AVERAGEIFS(Calendar!$X$2:$X$801,Calendar!$B$2:$B$801,$A40,Calendar!$X$2:$X$801,"&gt;0"),0)</f>
        <v/>
      </c>
    </row>
    <row r="41">
      <c r="A41" s="16" t="n">
        <v>40</v>
      </c>
      <c r="B41" s="47">
        <f>'Start Here'!$B$5+273</f>
        <v/>
      </c>
      <c r="C41" s="16">
        <f>COUNTIFS(Calendar!$B$2:$B$801,$A41)</f>
        <v/>
      </c>
      <c r="D41" s="16">
        <f>COUNTIFS(Calendar!$B$2:$B$801,$A41,Calendar!$Q$2:$Q$801,"Published")</f>
        <v/>
      </c>
      <c r="E41" s="50">
        <f>SUMIFS(Calendar!$V$2:$V$801,Calendar!$B$2:$B$801,$A41)</f>
        <v/>
      </c>
      <c r="F41" s="50">
        <f>SUMIFS(Calendar!$W$2:$W$801,Calendar!$B$2:$B$801,$A41)</f>
        <v/>
      </c>
      <c r="G41" s="51">
        <f>IFERROR(AVERAGEIFS(Calendar!$X$2:$X$801,Calendar!$B$2:$B$801,$A41,Calendar!$X$2:$X$801,"&gt;0"),0)</f>
        <v/>
      </c>
    </row>
    <row r="42">
      <c r="A42" s="16" t="n">
        <v>41</v>
      </c>
      <c r="B42" s="47">
        <f>'Start Here'!$B$5+280</f>
        <v/>
      </c>
      <c r="C42" s="16">
        <f>COUNTIFS(Calendar!$B$2:$B$801,$A42)</f>
        <v/>
      </c>
      <c r="D42" s="16">
        <f>COUNTIFS(Calendar!$B$2:$B$801,$A42,Calendar!$Q$2:$Q$801,"Published")</f>
        <v/>
      </c>
      <c r="E42" s="50">
        <f>SUMIFS(Calendar!$V$2:$V$801,Calendar!$B$2:$B$801,$A42)</f>
        <v/>
      </c>
      <c r="F42" s="50">
        <f>SUMIFS(Calendar!$W$2:$W$801,Calendar!$B$2:$B$801,$A42)</f>
        <v/>
      </c>
      <c r="G42" s="51">
        <f>IFERROR(AVERAGEIFS(Calendar!$X$2:$X$801,Calendar!$B$2:$B$801,$A42,Calendar!$X$2:$X$801,"&gt;0"),0)</f>
        <v/>
      </c>
    </row>
    <row r="43">
      <c r="A43" s="16" t="n">
        <v>42</v>
      </c>
      <c r="B43" s="47">
        <f>'Start Here'!$B$5+287</f>
        <v/>
      </c>
      <c r="C43" s="16">
        <f>COUNTIFS(Calendar!$B$2:$B$801,$A43)</f>
        <v/>
      </c>
      <c r="D43" s="16">
        <f>COUNTIFS(Calendar!$B$2:$B$801,$A43,Calendar!$Q$2:$Q$801,"Published")</f>
        <v/>
      </c>
      <c r="E43" s="50">
        <f>SUMIFS(Calendar!$V$2:$V$801,Calendar!$B$2:$B$801,$A43)</f>
        <v/>
      </c>
      <c r="F43" s="50">
        <f>SUMIFS(Calendar!$W$2:$W$801,Calendar!$B$2:$B$801,$A43)</f>
        <v/>
      </c>
      <c r="G43" s="51">
        <f>IFERROR(AVERAGEIFS(Calendar!$X$2:$X$801,Calendar!$B$2:$B$801,$A43,Calendar!$X$2:$X$801,"&gt;0"),0)</f>
        <v/>
      </c>
    </row>
    <row r="44">
      <c r="A44" s="16" t="n">
        <v>43</v>
      </c>
      <c r="B44" s="47">
        <f>'Start Here'!$B$5+294</f>
        <v/>
      </c>
      <c r="C44" s="16">
        <f>COUNTIFS(Calendar!$B$2:$B$801,$A44)</f>
        <v/>
      </c>
      <c r="D44" s="16">
        <f>COUNTIFS(Calendar!$B$2:$B$801,$A44,Calendar!$Q$2:$Q$801,"Published")</f>
        <v/>
      </c>
      <c r="E44" s="50">
        <f>SUMIFS(Calendar!$V$2:$V$801,Calendar!$B$2:$B$801,$A44)</f>
        <v/>
      </c>
      <c r="F44" s="50">
        <f>SUMIFS(Calendar!$W$2:$W$801,Calendar!$B$2:$B$801,$A44)</f>
        <v/>
      </c>
      <c r="G44" s="51">
        <f>IFERROR(AVERAGEIFS(Calendar!$X$2:$X$801,Calendar!$B$2:$B$801,$A44,Calendar!$X$2:$X$801,"&gt;0"),0)</f>
        <v/>
      </c>
    </row>
    <row r="45">
      <c r="A45" s="16" t="n">
        <v>44</v>
      </c>
      <c r="B45" s="47">
        <f>'Start Here'!$B$5+301</f>
        <v/>
      </c>
      <c r="C45" s="16">
        <f>COUNTIFS(Calendar!$B$2:$B$801,$A45)</f>
        <v/>
      </c>
      <c r="D45" s="16">
        <f>COUNTIFS(Calendar!$B$2:$B$801,$A45,Calendar!$Q$2:$Q$801,"Published")</f>
        <v/>
      </c>
      <c r="E45" s="50">
        <f>SUMIFS(Calendar!$V$2:$V$801,Calendar!$B$2:$B$801,$A45)</f>
        <v/>
      </c>
      <c r="F45" s="50">
        <f>SUMIFS(Calendar!$W$2:$W$801,Calendar!$B$2:$B$801,$A45)</f>
        <v/>
      </c>
      <c r="G45" s="51">
        <f>IFERROR(AVERAGEIFS(Calendar!$X$2:$X$801,Calendar!$B$2:$B$801,$A45,Calendar!$X$2:$X$801,"&gt;0"),0)</f>
        <v/>
      </c>
    </row>
    <row r="46">
      <c r="A46" s="16" t="n">
        <v>45</v>
      </c>
      <c r="B46" s="47">
        <f>'Start Here'!$B$5+308</f>
        <v/>
      </c>
      <c r="C46" s="16">
        <f>COUNTIFS(Calendar!$B$2:$B$801,$A46)</f>
        <v/>
      </c>
      <c r="D46" s="16">
        <f>COUNTIFS(Calendar!$B$2:$B$801,$A46,Calendar!$Q$2:$Q$801,"Published")</f>
        <v/>
      </c>
      <c r="E46" s="50">
        <f>SUMIFS(Calendar!$V$2:$V$801,Calendar!$B$2:$B$801,$A46)</f>
        <v/>
      </c>
      <c r="F46" s="50">
        <f>SUMIFS(Calendar!$W$2:$W$801,Calendar!$B$2:$B$801,$A46)</f>
        <v/>
      </c>
      <c r="G46" s="51">
        <f>IFERROR(AVERAGEIFS(Calendar!$X$2:$X$801,Calendar!$B$2:$B$801,$A46,Calendar!$X$2:$X$801,"&gt;0"),0)</f>
        <v/>
      </c>
    </row>
    <row r="47">
      <c r="A47" s="16" t="n">
        <v>46</v>
      </c>
      <c r="B47" s="47">
        <f>'Start Here'!$B$5+315</f>
        <v/>
      </c>
      <c r="C47" s="16">
        <f>COUNTIFS(Calendar!$B$2:$B$801,$A47)</f>
        <v/>
      </c>
      <c r="D47" s="16">
        <f>COUNTIFS(Calendar!$B$2:$B$801,$A47,Calendar!$Q$2:$Q$801,"Published")</f>
        <v/>
      </c>
      <c r="E47" s="50">
        <f>SUMIFS(Calendar!$V$2:$V$801,Calendar!$B$2:$B$801,$A47)</f>
        <v/>
      </c>
      <c r="F47" s="50">
        <f>SUMIFS(Calendar!$W$2:$W$801,Calendar!$B$2:$B$801,$A47)</f>
        <v/>
      </c>
      <c r="G47" s="51">
        <f>IFERROR(AVERAGEIFS(Calendar!$X$2:$X$801,Calendar!$B$2:$B$801,$A47,Calendar!$X$2:$X$801,"&gt;0"),0)</f>
        <v/>
      </c>
    </row>
    <row r="48">
      <c r="A48" s="16" t="n">
        <v>47</v>
      </c>
      <c r="B48" s="47">
        <f>'Start Here'!$B$5+322</f>
        <v/>
      </c>
      <c r="C48" s="16">
        <f>COUNTIFS(Calendar!$B$2:$B$801,$A48)</f>
        <v/>
      </c>
      <c r="D48" s="16">
        <f>COUNTIFS(Calendar!$B$2:$B$801,$A48,Calendar!$Q$2:$Q$801,"Published")</f>
        <v/>
      </c>
      <c r="E48" s="50">
        <f>SUMIFS(Calendar!$V$2:$V$801,Calendar!$B$2:$B$801,$A48)</f>
        <v/>
      </c>
      <c r="F48" s="50">
        <f>SUMIFS(Calendar!$W$2:$W$801,Calendar!$B$2:$B$801,$A48)</f>
        <v/>
      </c>
      <c r="G48" s="51">
        <f>IFERROR(AVERAGEIFS(Calendar!$X$2:$X$801,Calendar!$B$2:$B$801,$A48,Calendar!$X$2:$X$801,"&gt;0"),0)</f>
        <v/>
      </c>
    </row>
    <row r="49">
      <c r="A49" s="16" t="n">
        <v>48</v>
      </c>
      <c r="B49" s="47">
        <f>'Start Here'!$B$5+329</f>
        <v/>
      </c>
      <c r="C49" s="16">
        <f>COUNTIFS(Calendar!$B$2:$B$801,$A49)</f>
        <v/>
      </c>
      <c r="D49" s="16">
        <f>COUNTIFS(Calendar!$B$2:$B$801,$A49,Calendar!$Q$2:$Q$801,"Published")</f>
        <v/>
      </c>
      <c r="E49" s="50">
        <f>SUMIFS(Calendar!$V$2:$V$801,Calendar!$B$2:$B$801,$A49)</f>
        <v/>
      </c>
      <c r="F49" s="50">
        <f>SUMIFS(Calendar!$W$2:$W$801,Calendar!$B$2:$B$801,$A49)</f>
        <v/>
      </c>
      <c r="G49" s="51">
        <f>IFERROR(AVERAGEIFS(Calendar!$X$2:$X$801,Calendar!$B$2:$B$801,$A49,Calendar!$X$2:$X$801,"&gt;0"),0)</f>
        <v/>
      </c>
    </row>
    <row r="50">
      <c r="A50" s="16" t="n">
        <v>49</v>
      </c>
      <c r="B50" s="47">
        <f>'Start Here'!$B$5+336</f>
        <v/>
      </c>
      <c r="C50" s="16">
        <f>COUNTIFS(Calendar!$B$2:$B$801,$A50)</f>
        <v/>
      </c>
      <c r="D50" s="16">
        <f>COUNTIFS(Calendar!$B$2:$B$801,$A50,Calendar!$Q$2:$Q$801,"Published")</f>
        <v/>
      </c>
      <c r="E50" s="50">
        <f>SUMIFS(Calendar!$V$2:$V$801,Calendar!$B$2:$B$801,$A50)</f>
        <v/>
      </c>
      <c r="F50" s="50">
        <f>SUMIFS(Calendar!$W$2:$W$801,Calendar!$B$2:$B$801,$A50)</f>
        <v/>
      </c>
      <c r="G50" s="51">
        <f>IFERROR(AVERAGEIFS(Calendar!$X$2:$X$801,Calendar!$B$2:$B$801,$A50,Calendar!$X$2:$X$801,"&gt;0"),0)</f>
        <v/>
      </c>
    </row>
    <row r="51">
      <c r="A51" s="16" t="n">
        <v>50</v>
      </c>
      <c r="B51" s="47">
        <f>'Start Here'!$B$5+343</f>
        <v/>
      </c>
      <c r="C51" s="16">
        <f>COUNTIFS(Calendar!$B$2:$B$801,$A51)</f>
        <v/>
      </c>
      <c r="D51" s="16">
        <f>COUNTIFS(Calendar!$B$2:$B$801,$A51,Calendar!$Q$2:$Q$801,"Published")</f>
        <v/>
      </c>
      <c r="E51" s="50">
        <f>SUMIFS(Calendar!$V$2:$V$801,Calendar!$B$2:$B$801,$A51)</f>
        <v/>
      </c>
      <c r="F51" s="50">
        <f>SUMIFS(Calendar!$W$2:$W$801,Calendar!$B$2:$B$801,$A51)</f>
        <v/>
      </c>
      <c r="G51" s="51">
        <f>IFERROR(AVERAGEIFS(Calendar!$X$2:$X$801,Calendar!$B$2:$B$801,$A51,Calendar!$X$2:$X$801,"&gt;0"),0)</f>
        <v/>
      </c>
    </row>
    <row r="52">
      <c r="A52" s="16" t="n">
        <v>51</v>
      </c>
      <c r="B52" s="47">
        <f>'Start Here'!$B$5+350</f>
        <v/>
      </c>
      <c r="C52" s="16">
        <f>COUNTIFS(Calendar!$B$2:$B$801,$A52)</f>
        <v/>
      </c>
      <c r="D52" s="16">
        <f>COUNTIFS(Calendar!$B$2:$B$801,$A52,Calendar!$Q$2:$Q$801,"Published")</f>
        <v/>
      </c>
      <c r="E52" s="50">
        <f>SUMIFS(Calendar!$V$2:$V$801,Calendar!$B$2:$B$801,$A52)</f>
        <v/>
      </c>
      <c r="F52" s="50">
        <f>SUMIFS(Calendar!$W$2:$W$801,Calendar!$B$2:$B$801,$A52)</f>
        <v/>
      </c>
      <c r="G52" s="51">
        <f>IFERROR(AVERAGEIFS(Calendar!$X$2:$X$801,Calendar!$B$2:$B$801,$A52,Calendar!$X$2:$X$801,"&gt;0"),0)</f>
        <v/>
      </c>
    </row>
    <row r="53">
      <c r="A53" s="16" t="n">
        <v>52</v>
      </c>
      <c r="B53" s="47">
        <f>'Start Here'!$B$5+357</f>
        <v/>
      </c>
      <c r="C53" s="16">
        <f>COUNTIFS(Calendar!$B$2:$B$801,$A53)</f>
        <v/>
      </c>
      <c r="D53" s="16">
        <f>COUNTIFS(Calendar!$B$2:$B$801,$A53,Calendar!$Q$2:$Q$801,"Published")</f>
        <v/>
      </c>
      <c r="E53" s="50">
        <f>SUMIFS(Calendar!$V$2:$V$801,Calendar!$B$2:$B$801,$A53)</f>
        <v/>
      </c>
      <c r="F53" s="50">
        <f>SUMIFS(Calendar!$W$2:$W$801,Calendar!$B$2:$B$801,$A53)</f>
        <v/>
      </c>
      <c r="G53" s="51">
        <f>IFERROR(AVERAGEIFS(Calendar!$X$2:$X$801,Calendar!$B$2:$B$801,$A53,Calendar!$X$2:$X$801,"&gt;0"),0)</f>
        <v/>
      </c>
    </row>
    <row r="54">
      <c r="A54" s="7" t="inlineStr">
        <is>
          <t>Total</t>
        </is>
      </c>
      <c r="C54" s="52">
        <f>SUM(C2:C53)</f>
        <v/>
      </c>
      <c r="D54" s="52">
        <f>SUM(D2:D53)</f>
        <v/>
      </c>
      <c r="E54" s="52">
        <f>SUM(E2:E53)</f>
        <v/>
      </c>
      <c r="F54" s="52">
        <f>SUM(F2:F53)</f>
        <v/>
      </c>
    </row>
    <row r="56">
      <c r="A56" s="2" t="inlineStr">
        <is>
          <t>Calculated from the Calendar: set Status = Published and type the views / subs / avg % viewed there.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2" t="inlineStr">
        <is>
          <t>Posting Guide — Tiny Sparks</t>
        </is>
      </c>
    </row>
    <row r="3" ht="44" customHeight="1">
      <c r="A3" s="43" t="inlineStr">
        <is>
          <t>Cadence</t>
        </is>
      </c>
      <c r="B3" s="44" t="inlineStr">
        <is>
          <t>One video a day on fixed theme days (see Start Here). Consistency beats volume: never skip a theme day. If daily is too much, publish Mon/Wed/Fri/Sun and keep the same order — just change Day # spacing.</t>
        </is>
      </c>
    </row>
    <row r="4" ht="44" customHeight="1">
      <c r="A4" s="43" t="inlineStr">
        <is>
          <t>Batching</t>
        </is>
      </c>
      <c r="B4" s="44" t="inlineStr">
        <is>
          <t>Produce a full week (7 videos, one per niche) in one session and schedule them all in YouTube Studio (Status = Scheduled). Keep a buffer of 2 weeks ahead.</t>
        </is>
      </c>
    </row>
    <row r="5" ht="44" customHeight="1">
      <c r="A5" s="43" t="inlineStr">
        <is>
          <t>Shorts + long</t>
        </is>
      </c>
      <c r="B5" s="44" t="inlineStr">
        <is>
          <t>Stories, morals, animal stories and songs are long 16:9 episodes + a 45–60 s Short cut posted the same day at 18:00 ET. Math, words, science and puzzles are mostly Shorts; their "Ultimate / Quiz / 20…" ideas are long.</t>
        </is>
      </c>
    </row>
    <row r="6" ht="44" customHeight="1">
      <c r="A6" s="43" t="inlineStr">
        <is>
          <t>Compilations</t>
        </is>
      </c>
      <c r="B6" s="44" t="inlineStr">
        <is>
          <t>Every 4 weeks, stitch the month's long episodes of one niche into a 20–30 min compilation and post it on a Saturday at 9:00 ET (extra slot) — the watch-time engine of kids channels.</t>
        </is>
      </c>
    </row>
    <row r="7" ht="44" customHeight="1">
      <c r="A7" s="43" t="inlineStr">
        <is>
          <t>Every upload</t>
        </is>
      </c>
      <c r="B7" s="44" t="inlineStr">
        <is>
          <t>Made for Kids = YES · title from the Calendar · description = what kids learn (2 lines) + ages + lyrics for songs · playlist per niche · thumbnail (long videos): one big face + 1–3 words · Altered/synthetic content = No.</t>
        </is>
      </c>
    </row>
    <row r="8" ht="44" customHeight="1">
      <c r="A8" s="43" t="inlineStr">
        <is>
          <t>After upload</t>
        </is>
      </c>
      <c r="B8" s="44" t="inlineStr">
        <is>
          <t>Paste the link · after 48 h and 7 days type the views · Avg % viewed (Shorts &gt; 70 %, long &gt; 40 % is good) · note what worked.</t>
        </is>
      </c>
    </row>
    <row r="9" ht="44" customHeight="1">
      <c r="A9" s="43" t="inlineStr">
        <is>
          <t>Times</t>
        </is>
      </c>
      <c r="B9" s="44" t="inlineStr">
        <is>
          <t>Weekdays 16:00 ET (after school / nap), weekends 09:00 ET (morning). These are starting points; after ~4 weeks use YouTube Analytics → Audience → "When your viewers are on YouTube" and update the time table on Start Here.</t>
        </is>
      </c>
    </row>
    <row r="10" ht="44" customHeight="1">
      <c r="A10" s="43" t="inlineStr">
        <is>
          <t>Quality bar</t>
        </is>
      </c>
      <c r="B10" s="44" t="inlineStr">
        <is>
          <t>Original characters, original scripts, original songs (tools/gen_song.py), real teaching value and genuine variation in every video. YouTube demonetises mass-produced, near-identical kids videos (inauthentic content) — the niche skills enforce the variety.</t>
        </is>
      </c>
    </row>
    <row r="11" ht="44" customHeight="1">
      <c r="A11" s="43" t="inlineStr">
        <is>
          <t>Language</t>
        </is>
      </c>
      <c r="B11" s="44" t="inlineStr">
        <is>
          <t>English is the primary language (US audience); French is the bonus line ("Learn 20 Animals in English &amp; French"). A full French channel can come later by re-voicing the same videos.</t>
        </is>
      </c>
    </row>
    <row r="12" ht="44" customHeight="1">
      <c r="A12" s="43" t="inlineStr">
        <is>
          <t>Art to-do</t>
        </is>
      </c>
      <c r="B12" s="44" t="inlineStr">
        <is>
          <t>Filter the Calendar column "Rig ready?" ≠ Yes within Priority P1: that is the list of animal species to add to the Critter rig before those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2026-10-07T11:32:49Z</dcterms:created>
  <dcterms:modified xsi:type="dcterms:W3CDTF">2026-10-21T20:25:16Z</dcterms:modified>
</cp:coreProperties>
</file>